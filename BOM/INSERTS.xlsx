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elena\Desktop\masters\AI DRAW\BOM\"/>
    </mc:Choice>
  </mc:AlternateContent>
  <xr:revisionPtr revIDLastSave="0" documentId="13_ncr:1_{BEB67488-A449-4F1C-A011-FE1F5D2CB5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7" i="1" l="1"/>
  <c r="G517" i="1"/>
  <c r="E517" i="1"/>
  <c r="D517" i="1"/>
  <c r="C517" i="1"/>
  <c r="H516" i="1"/>
  <c r="G516" i="1"/>
  <c r="E516" i="1"/>
  <c r="D516" i="1"/>
  <c r="C516" i="1"/>
  <c r="H515" i="1"/>
  <c r="G515" i="1"/>
  <c r="E515" i="1"/>
  <c r="D515" i="1"/>
  <c r="C515" i="1"/>
  <c r="H514" i="1"/>
  <c r="G514" i="1"/>
  <c r="E514" i="1"/>
  <c r="D514" i="1"/>
  <c r="C514" i="1"/>
  <c r="H513" i="1"/>
  <c r="G513" i="1"/>
  <c r="E513" i="1"/>
  <c r="D513" i="1"/>
  <c r="C513" i="1"/>
  <c r="H512" i="1"/>
  <c r="G512" i="1"/>
  <c r="E512" i="1"/>
  <c r="D512" i="1"/>
  <c r="C512" i="1"/>
  <c r="H511" i="1"/>
  <c r="G511" i="1"/>
  <c r="E511" i="1"/>
  <c r="D511" i="1"/>
  <c r="C511" i="1"/>
  <c r="H510" i="1"/>
  <c r="G510" i="1"/>
  <c r="E510" i="1"/>
  <c r="D510" i="1"/>
  <c r="C510" i="1"/>
  <c r="H509" i="1"/>
  <c r="G509" i="1"/>
  <c r="E509" i="1"/>
  <c r="D509" i="1"/>
  <c r="C509" i="1"/>
  <c r="H508" i="1"/>
  <c r="G508" i="1"/>
  <c r="E508" i="1"/>
  <c r="D508" i="1"/>
  <c r="C508" i="1"/>
  <c r="H507" i="1"/>
  <c r="G507" i="1"/>
  <c r="E507" i="1"/>
  <c r="D507" i="1"/>
  <c r="C507" i="1"/>
  <c r="H506" i="1"/>
  <c r="G506" i="1"/>
  <c r="E506" i="1"/>
  <c r="D506" i="1"/>
  <c r="C506" i="1"/>
  <c r="H505" i="1"/>
  <c r="G505" i="1"/>
  <c r="E505" i="1"/>
  <c r="D505" i="1"/>
  <c r="C505" i="1"/>
  <c r="H504" i="1"/>
  <c r="G504" i="1"/>
  <c r="E504" i="1"/>
  <c r="D504" i="1"/>
  <c r="C504" i="1"/>
  <c r="H503" i="1"/>
  <c r="G503" i="1"/>
  <c r="E503" i="1"/>
  <c r="D503" i="1"/>
  <c r="C503" i="1"/>
  <c r="H502" i="1"/>
  <c r="G502" i="1"/>
  <c r="E502" i="1"/>
  <c r="D502" i="1"/>
  <c r="C502" i="1"/>
  <c r="H501" i="1"/>
  <c r="G501" i="1"/>
  <c r="E501" i="1"/>
  <c r="D501" i="1"/>
  <c r="C501" i="1"/>
  <c r="H500" i="1"/>
  <c r="G500" i="1"/>
  <c r="E500" i="1"/>
  <c r="D500" i="1"/>
  <c r="C500" i="1"/>
  <c r="H499" i="1"/>
  <c r="G499" i="1"/>
  <c r="E499" i="1"/>
  <c r="D499" i="1"/>
  <c r="C499" i="1"/>
  <c r="H498" i="1"/>
  <c r="G498" i="1"/>
  <c r="E498" i="1"/>
  <c r="D498" i="1"/>
  <c r="C498" i="1"/>
  <c r="H497" i="1"/>
  <c r="G497" i="1"/>
  <c r="E497" i="1"/>
  <c r="D497" i="1"/>
  <c r="C497" i="1"/>
  <c r="H496" i="1"/>
  <c r="G496" i="1"/>
  <c r="E496" i="1"/>
  <c r="D496" i="1"/>
  <c r="C496" i="1"/>
  <c r="H495" i="1"/>
  <c r="G495" i="1"/>
  <c r="E495" i="1"/>
  <c r="D495" i="1"/>
  <c r="C495" i="1"/>
  <c r="H494" i="1"/>
  <c r="G494" i="1"/>
  <c r="E494" i="1"/>
  <c r="D494" i="1"/>
  <c r="C494" i="1"/>
  <c r="H493" i="1"/>
  <c r="G493" i="1"/>
  <c r="E493" i="1"/>
  <c r="D493" i="1"/>
  <c r="C493" i="1"/>
  <c r="H492" i="1"/>
  <c r="G492" i="1"/>
  <c r="E492" i="1"/>
  <c r="D492" i="1"/>
  <c r="C492" i="1"/>
  <c r="H491" i="1"/>
  <c r="G491" i="1"/>
  <c r="E491" i="1"/>
  <c r="D491" i="1"/>
  <c r="C491" i="1"/>
  <c r="H490" i="1"/>
  <c r="G490" i="1"/>
  <c r="E490" i="1"/>
  <c r="D490" i="1"/>
  <c r="C490" i="1"/>
  <c r="H489" i="1"/>
  <c r="G489" i="1"/>
  <c r="E489" i="1"/>
  <c r="D489" i="1"/>
  <c r="C489" i="1"/>
  <c r="H488" i="1"/>
  <c r="G488" i="1"/>
  <c r="E488" i="1"/>
  <c r="D488" i="1"/>
  <c r="C488" i="1"/>
  <c r="H487" i="1"/>
  <c r="G487" i="1"/>
  <c r="E487" i="1"/>
  <c r="D487" i="1"/>
  <c r="C487" i="1"/>
  <c r="H486" i="1"/>
  <c r="G486" i="1"/>
  <c r="E486" i="1"/>
  <c r="D486" i="1"/>
  <c r="C486" i="1"/>
  <c r="H485" i="1"/>
  <c r="G485" i="1"/>
  <c r="E485" i="1"/>
  <c r="D485" i="1"/>
  <c r="C485" i="1"/>
  <c r="H484" i="1"/>
  <c r="G484" i="1"/>
  <c r="E484" i="1"/>
  <c r="D484" i="1"/>
  <c r="C484" i="1"/>
  <c r="H483" i="1"/>
  <c r="G483" i="1"/>
  <c r="E483" i="1"/>
  <c r="D483" i="1"/>
  <c r="C483" i="1"/>
  <c r="H482" i="1"/>
  <c r="G482" i="1"/>
  <c r="E482" i="1"/>
  <c r="D482" i="1"/>
  <c r="C482" i="1"/>
  <c r="H481" i="1"/>
  <c r="G481" i="1"/>
  <c r="E481" i="1"/>
  <c r="D481" i="1"/>
  <c r="C481" i="1"/>
  <c r="H480" i="1"/>
  <c r="G480" i="1"/>
  <c r="E480" i="1"/>
  <c r="D480" i="1"/>
  <c r="C480" i="1"/>
  <c r="H479" i="1"/>
  <c r="G479" i="1"/>
  <c r="E479" i="1"/>
  <c r="D479" i="1"/>
  <c r="C479" i="1"/>
  <c r="H478" i="1"/>
  <c r="G478" i="1"/>
  <c r="E478" i="1"/>
  <c r="D478" i="1"/>
  <c r="C478" i="1"/>
  <c r="H477" i="1"/>
  <c r="G477" i="1"/>
  <c r="E477" i="1"/>
  <c r="D477" i="1"/>
  <c r="C477" i="1"/>
  <c r="H476" i="1"/>
  <c r="G476" i="1"/>
  <c r="E476" i="1"/>
  <c r="D476" i="1"/>
  <c r="C476" i="1"/>
  <c r="H475" i="1"/>
  <c r="G475" i="1"/>
  <c r="E475" i="1"/>
  <c r="D475" i="1"/>
  <c r="C475" i="1"/>
  <c r="H474" i="1"/>
  <c r="G474" i="1"/>
  <c r="E474" i="1"/>
  <c r="D474" i="1"/>
  <c r="C474" i="1"/>
  <c r="H473" i="1"/>
  <c r="G473" i="1"/>
  <c r="E473" i="1"/>
  <c r="D473" i="1"/>
  <c r="C473" i="1"/>
  <c r="H472" i="1"/>
  <c r="G472" i="1"/>
  <c r="E472" i="1"/>
  <c r="D472" i="1"/>
  <c r="C472" i="1"/>
  <c r="H471" i="1"/>
  <c r="G471" i="1"/>
  <c r="E471" i="1"/>
  <c r="D471" i="1"/>
  <c r="C471" i="1"/>
  <c r="H470" i="1"/>
  <c r="G470" i="1"/>
  <c r="E470" i="1"/>
  <c r="D470" i="1"/>
  <c r="C470" i="1"/>
  <c r="H469" i="1"/>
  <c r="G469" i="1"/>
  <c r="E469" i="1"/>
  <c r="D469" i="1"/>
  <c r="C469" i="1"/>
  <c r="H468" i="1"/>
  <c r="G468" i="1"/>
  <c r="E468" i="1"/>
  <c r="D468" i="1"/>
  <c r="C468" i="1"/>
  <c r="H467" i="1"/>
  <c r="G467" i="1"/>
  <c r="E467" i="1"/>
  <c r="D467" i="1"/>
  <c r="C467" i="1"/>
  <c r="H466" i="1"/>
  <c r="G466" i="1"/>
  <c r="E466" i="1"/>
  <c r="D466" i="1"/>
  <c r="C466" i="1"/>
  <c r="H465" i="1"/>
  <c r="G465" i="1"/>
  <c r="E465" i="1"/>
  <c r="D465" i="1"/>
  <c r="C465" i="1"/>
  <c r="H464" i="1"/>
  <c r="G464" i="1"/>
  <c r="E464" i="1"/>
  <c r="D464" i="1"/>
  <c r="C464" i="1"/>
  <c r="H463" i="1"/>
  <c r="G463" i="1"/>
  <c r="E463" i="1"/>
  <c r="D463" i="1"/>
  <c r="C463" i="1"/>
  <c r="H462" i="1"/>
  <c r="G462" i="1"/>
  <c r="E462" i="1"/>
  <c r="D462" i="1"/>
  <c r="C462" i="1"/>
  <c r="H461" i="1"/>
  <c r="G461" i="1"/>
  <c r="E461" i="1"/>
  <c r="D461" i="1"/>
  <c r="C461" i="1"/>
  <c r="H460" i="1"/>
  <c r="G460" i="1"/>
  <c r="E460" i="1"/>
  <c r="D460" i="1"/>
  <c r="C460" i="1"/>
  <c r="H459" i="1"/>
  <c r="G459" i="1"/>
  <c r="E459" i="1"/>
  <c r="D459" i="1"/>
  <c r="C459" i="1"/>
  <c r="H458" i="1"/>
  <c r="G458" i="1"/>
  <c r="E458" i="1"/>
  <c r="D458" i="1"/>
  <c r="C458" i="1"/>
  <c r="H457" i="1"/>
  <c r="G457" i="1"/>
  <c r="E457" i="1"/>
  <c r="D457" i="1"/>
  <c r="C457" i="1"/>
  <c r="H456" i="1"/>
  <c r="G456" i="1"/>
  <c r="E456" i="1"/>
  <c r="D456" i="1"/>
  <c r="C456" i="1"/>
  <c r="H455" i="1"/>
  <c r="G455" i="1"/>
  <c r="E455" i="1"/>
  <c r="D455" i="1"/>
  <c r="C455" i="1"/>
  <c r="H454" i="1"/>
  <c r="G454" i="1"/>
  <c r="E454" i="1"/>
  <c r="D454" i="1"/>
  <c r="C454" i="1"/>
  <c r="H453" i="1"/>
  <c r="G453" i="1"/>
  <c r="E453" i="1"/>
  <c r="D453" i="1"/>
  <c r="C453" i="1"/>
  <c r="H452" i="1"/>
  <c r="G452" i="1"/>
  <c r="E452" i="1"/>
  <c r="D452" i="1"/>
  <c r="C452" i="1"/>
  <c r="H451" i="1"/>
  <c r="G451" i="1"/>
  <c r="E451" i="1"/>
  <c r="D451" i="1"/>
  <c r="C451" i="1"/>
  <c r="H450" i="1"/>
  <c r="G450" i="1"/>
  <c r="E450" i="1"/>
  <c r="D450" i="1"/>
  <c r="C450" i="1"/>
  <c r="H449" i="1"/>
  <c r="G449" i="1"/>
  <c r="E449" i="1"/>
  <c r="D449" i="1"/>
  <c r="C449" i="1"/>
  <c r="H448" i="1"/>
  <c r="G448" i="1"/>
  <c r="E448" i="1"/>
  <c r="D448" i="1"/>
  <c r="C448" i="1"/>
  <c r="H447" i="1"/>
  <c r="G447" i="1"/>
  <c r="E447" i="1"/>
  <c r="D447" i="1"/>
  <c r="C447" i="1"/>
  <c r="H446" i="1"/>
  <c r="G446" i="1"/>
  <c r="E446" i="1"/>
  <c r="D446" i="1"/>
  <c r="C446" i="1"/>
  <c r="H445" i="1"/>
  <c r="G445" i="1"/>
  <c r="E445" i="1"/>
  <c r="D445" i="1"/>
  <c r="C445" i="1"/>
  <c r="H444" i="1"/>
  <c r="G444" i="1"/>
  <c r="E444" i="1"/>
  <c r="D444" i="1"/>
  <c r="C444" i="1"/>
  <c r="H443" i="1"/>
  <c r="G443" i="1"/>
  <c r="E443" i="1"/>
  <c r="D443" i="1"/>
  <c r="C443" i="1"/>
  <c r="H442" i="1"/>
  <c r="G442" i="1"/>
  <c r="E442" i="1"/>
  <c r="D442" i="1"/>
  <c r="C442" i="1"/>
  <c r="H441" i="1"/>
  <c r="G441" i="1"/>
  <c r="E441" i="1"/>
  <c r="D441" i="1"/>
  <c r="C441" i="1"/>
  <c r="H440" i="1"/>
  <c r="G440" i="1"/>
  <c r="E440" i="1"/>
  <c r="D440" i="1"/>
  <c r="C440" i="1"/>
  <c r="H439" i="1"/>
  <c r="G439" i="1"/>
  <c r="E439" i="1"/>
  <c r="D439" i="1"/>
  <c r="C439" i="1"/>
  <c r="H438" i="1"/>
  <c r="G438" i="1"/>
  <c r="E438" i="1"/>
  <c r="D438" i="1"/>
  <c r="C438" i="1"/>
  <c r="H437" i="1"/>
  <c r="G437" i="1"/>
  <c r="E437" i="1"/>
  <c r="D437" i="1"/>
  <c r="C437" i="1"/>
  <c r="H436" i="1"/>
  <c r="G436" i="1"/>
  <c r="E436" i="1"/>
  <c r="D436" i="1"/>
  <c r="C436" i="1"/>
  <c r="H435" i="1"/>
  <c r="G435" i="1"/>
  <c r="E435" i="1"/>
  <c r="D435" i="1"/>
  <c r="C435" i="1"/>
  <c r="H434" i="1"/>
  <c r="G434" i="1"/>
  <c r="E434" i="1"/>
  <c r="D434" i="1"/>
  <c r="C434" i="1"/>
  <c r="H433" i="1"/>
  <c r="G433" i="1"/>
  <c r="E433" i="1"/>
  <c r="D433" i="1"/>
  <c r="C433" i="1"/>
  <c r="H432" i="1"/>
  <c r="G432" i="1"/>
  <c r="E432" i="1"/>
  <c r="D432" i="1"/>
  <c r="C432" i="1"/>
  <c r="H431" i="1"/>
  <c r="G431" i="1"/>
  <c r="E431" i="1"/>
  <c r="D431" i="1"/>
  <c r="C431" i="1"/>
  <c r="H430" i="1"/>
  <c r="G430" i="1"/>
  <c r="E430" i="1"/>
  <c r="D430" i="1"/>
  <c r="C430" i="1"/>
  <c r="H429" i="1"/>
  <c r="G429" i="1"/>
  <c r="E429" i="1"/>
  <c r="D429" i="1"/>
  <c r="C429" i="1"/>
  <c r="H428" i="1"/>
  <c r="G428" i="1"/>
  <c r="E428" i="1"/>
  <c r="D428" i="1"/>
  <c r="C428" i="1"/>
  <c r="H427" i="1"/>
  <c r="G427" i="1"/>
  <c r="E427" i="1"/>
  <c r="D427" i="1"/>
  <c r="C427" i="1"/>
  <c r="H426" i="1"/>
  <c r="G426" i="1"/>
  <c r="E426" i="1"/>
  <c r="D426" i="1"/>
  <c r="C426" i="1"/>
  <c r="H425" i="1"/>
  <c r="G425" i="1"/>
  <c r="E425" i="1"/>
  <c r="D425" i="1"/>
  <c r="C425" i="1"/>
  <c r="H424" i="1"/>
  <c r="G424" i="1"/>
  <c r="E424" i="1"/>
  <c r="D424" i="1"/>
  <c r="C424" i="1"/>
  <c r="H423" i="1"/>
  <c r="G423" i="1"/>
  <c r="E423" i="1"/>
  <c r="D423" i="1"/>
  <c r="C423" i="1"/>
  <c r="H422" i="1"/>
  <c r="G422" i="1"/>
  <c r="E422" i="1"/>
  <c r="D422" i="1"/>
  <c r="C422" i="1"/>
  <c r="H421" i="1"/>
  <c r="G421" i="1"/>
  <c r="E421" i="1"/>
  <c r="D421" i="1"/>
  <c r="C421" i="1"/>
  <c r="H420" i="1"/>
  <c r="G420" i="1"/>
  <c r="E420" i="1"/>
  <c r="D420" i="1"/>
  <c r="C420" i="1"/>
  <c r="H419" i="1"/>
  <c r="G419" i="1"/>
  <c r="E419" i="1"/>
  <c r="D419" i="1"/>
  <c r="C419" i="1"/>
  <c r="H418" i="1"/>
  <c r="G418" i="1"/>
  <c r="E418" i="1"/>
  <c r="D418" i="1"/>
  <c r="C418" i="1"/>
  <c r="H417" i="1"/>
  <c r="G417" i="1"/>
  <c r="E417" i="1"/>
  <c r="D417" i="1"/>
  <c r="C417" i="1"/>
  <c r="H416" i="1"/>
  <c r="G416" i="1"/>
  <c r="E416" i="1"/>
  <c r="D416" i="1"/>
  <c r="C416" i="1"/>
  <c r="H415" i="1"/>
  <c r="G415" i="1"/>
  <c r="E415" i="1"/>
  <c r="D415" i="1"/>
  <c r="C415" i="1"/>
  <c r="H414" i="1"/>
  <c r="G414" i="1"/>
  <c r="E414" i="1"/>
  <c r="D414" i="1"/>
  <c r="C414" i="1"/>
  <c r="H413" i="1"/>
  <c r="G413" i="1"/>
  <c r="E413" i="1"/>
  <c r="D413" i="1"/>
  <c r="C413" i="1"/>
  <c r="H412" i="1"/>
  <c r="G412" i="1"/>
  <c r="E412" i="1"/>
  <c r="D412" i="1"/>
  <c r="C412" i="1"/>
  <c r="H411" i="1"/>
  <c r="G411" i="1"/>
  <c r="E411" i="1"/>
  <c r="D411" i="1"/>
  <c r="C411" i="1"/>
  <c r="H410" i="1"/>
  <c r="G410" i="1"/>
  <c r="E410" i="1"/>
  <c r="D410" i="1"/>
  <c r="C410" i="1"/>
  <c r="H409" i="1"/>
  <c r="G409" i="1"/>
  <c r="E409" i="1"/>
  <c r="D409" i="1"/>
  <c r="C409" i="1"/>
  <c r="H408" i="1"/>
  <c r="G408" i="1"/>
  <c r="E408" i="1"/>
  <c r="D408" i="1"/>
  <c r="C408" i="1"/>
  <c r="H407" i="1"/>
  <c r="G407" i="1"/>
  <c r="E407" i="1"/>
  <c r="D407" i="1"/>
  <c r="C407" i="1"/>
  <c r="H406" i="1"/>
  <c r="G406" i="1"/>
  <c r="E406" i="1"/>
  <c r="D406" i="1"/>
  <c r="C406" i="1"/>
  <c r="H405" i="1"/>
  <c r="G405" i="1"/>
  <c r="E405" i="1"/>
  <c r="D405" i="1"/>
  <c r="C405" i="1"/>
  <c r="H404" i="1"/>
  <c r="G404" i="1"/>
  <c r="E404" i="1"/>
  <c r="D404" i="1"/>
  <c r="C404" i="1"/>
  <c r="H403" i="1"/>
  <c r="G403" i="1"/>
  <c r="E403" i="1"/>
  <c r="D403" i="1"/>
  <c r="C403" i="1"/>
  <c r="H402" i="1"/>
  <c r="G402" i="1"/>
  <c r="E402" i="1"/>
  <c r="D402" i="1"/>
  <c r="C402" i="1"/>
  <c r="H401" i="1"/>
  <c r="G401" i="1"/>
  <c r="E401" i="1"/>
  <c r="D401" i="1"/>
  <c r="C401" i="1"/>
  <c r="H400" i="1"/>
  <c r="G400" i="1"/>
  <c r="E400" i="1"/>
  <c r="D400" i="1"/>
  <c r="C400" i="1"/>
  <c r="H399" i="1"/>
  <c r="G399" i="1"/>
  <c r="E399" i="1"/>
  <c r="D399" i="1"/>
  <c r="C399" i="1"/>
  <c r="H398" i="1"/>
  <c r="G398" i="1"/>
  <c r="E398" i="1"/>
  <c r="D398" i="1"/>
  <c r="C398" i="1"/>
  <c r="H397" i="1"/>
  <c r="G397" i="1"/>
  <c r="E397" i="1"/>
  <c r="D397" i="1"/>
  <c r="C397" i="1"/>
  <c r="H396" i="1"/>
  <c r="G396" i="1"/>
  <c r="E396" i="1"/>
  <c r="D396" i="1"/>
  <c r="C396" i="1"/>
  <c r="H395" i="1"/>
  <c r="G395" i="1"/>
  <c r="E395" i="1"/>
  <c r="D395" i="1"/>
  <c r="C395" i="1"/>
  <c r="H394" i="1"/>
  <c r="G394" i="1"/>
  <c r="E394" i="1"/>
  <c r="D394" i="1"/>
  <c r="C394" i="1"/>
  <c r="H393" i="1"/>
  <c r="G393" i="1"/>
  <c r="E393" i="1"/>
  <c r="D393" i="1"/>
  <c r="C393" i="1"/>
  <c r="H392" i="1"/>
  <c r="G392" i="1"/>
  <c r="E392" i="1"/>
  <c r="D392" i="1"/>
  <c r="C392" i="1"/>
  <c r="H391" i="1"/>
  <c r="G391" i="1"/>
  <c r="E391" i="1"/>
  <c r="D391" i="1"/>
  <c r="C391" i="1"/>
  <c r="H390" i="1"/>
  <c r="G390" i="1"/>
  <c r="E390" i="1"/>
  <c r="D390" i="1"/>
  <c r="C390" i="1"/>
  <c r="H389" i="1"/>
  <c r="G389" i="1"/>
  <c r="E389" i="1"/>
  <c r="D389" i="1"/>
  <c r="C389" i="1"/>
  <c r="H388" i="1"/>
  <c r="G388" i="1"/>
  <c r="E388" i="1"/>
  <c r="D388" i="1"/>
  <c r="C388" i="1"/>
  <c r="H387" i="1"/>
  <c r="G387" i="1"/>
  <c r="E387" i="1"/>
  <c r="D387" i="1"/>
  <c r="C387" i="1"/>
  <c r="H386" i="1"/>
  <c r="G386" i="1"/>
  <c r="E386" i="1"/>
  <c r="D386" i="1"/>
  <c r="C386" i="1"/>
  <c r="H385" i="1"/>
  <c r="G385" i="1"/>
  <c r="E385" i="1"/>
  <c r="D385" i="1"/>
  <c r="C385" i="1"/>
  <c r="H384" i="1"/>
  <c r="G384" i="1"/>
  <c r="E384" i="1"/>
  <c r="D384" i="1"/>
  <c r="C384" i="1"/>
  <c r="H383" i="1"/>
  <c r="G383" i="1"/>
  <c r="E383" i="1"/>
  <c r="D383" i="1"/>
  <c r="C383" i="1"/>
  <c r="H382" i="1"/>
  <c r="G382" i="1"/>
  <c r="E382" i="1"/>
  <c r="D382" i="1"/>
  <c r="C382" i="1"/>
  <c r="H381" i="1"/>
  <c r="G381" i="1"/>
  <c r="E381" i="1"/>
  <c r="D381" i="1"/>
  <c r="C381" i="1"/>
  <c r="H380" i="1"/>
  <c r="G380" i="1"/>
  <c r="E380" i="1"/>
  <c r="D380" i="1"/>
  <c r="C380" i="1"/>
  <c r="H379" i="1"/>
  <c r="G379" i="1"/>
  <c r="E379" i="1"/>
  <c r="D379" i="1"/>
  <c r="C379" i="1"/>
  <c r="H378" i="1"/>
  <c r="G378" i="1"/>
  <c r="E378" i="1"/>
  <c r="D378" i="1"/>
  <c r="C378" i="1"/>
  <c r="H377" i="1"/>
  <c r="G377" i="1"/>
  <c r="E377" i="1"/>
  <c r="D377" i="1"/>
  <c r="C377" i="1"/>
  <c r="H376" i="1"/>
  <c r="G376" i="1"/>
  <c r="E376" i="1"/>
  <c r="D376" i="1"/>
  <c r="C376" i="1"/>
  <c r="H375" i="1"/>
  <c r="G375" i="1"/>
  <c r="E375" i="1"/>
  <c r="D375" i="1"/>
  <c r="C375" i="1"/>
  <c r="H374" i="1"/>
  <c r="G374" i="1"/>
  <c r="E374" i="1"/>
  <c r="D374" i="1"/>
  <c r="C374" i="1"/>
  <c r="H373" i="1"/>
  <c r="G373" i="1"/>
  <c r="E373" i="1"/>
  <c r="D373" i="1"/>
  <c r="C373" i="1"/>
  <c r="H372" i="1"/>
  <c r="G372" i="1"/>
  <c r="E372" i="1"/>
  <c r="D372" i="1"/>
  <c r="C372" i="1"/>
  <c r="H371" i="1"/>
  <c r="G371" i="1"/>
  <c r="E371" i="1"/>
  <c r="D371" i="1"/>
  <c r="C371" i="1"/>
  <c r="H370" i="1"/>
  <c r="G370" i="1"/>
  <c r="E370" i="1"/>
  <c r="D370" i="1"/>
  <c r="C370" i="1"/>
  <c r="H369" i="1"/>
  <c r="G369" i="1"/>
  <c r="E369" i="1"/>
  <c r="D369" i="1"/>
  <c r="C369" i="1"/>
  <c r="H368" i="1"/>
  <c r="G368" i="1"/>
  <c r="E368" i="1"/>
  <c r="D368" i="1"/>
  <c r="C368" i="1"/>
  <c r="H367" i="1"/>
  <c r="G367" i="1"/>
  <c r="E367" i="1"/>
  <c r="D367" i="1"/>
  <c r="C367" i="1"/>
  <c r="H366" i="1"/>
  <c r="G366" i="1"/>
  <c r="E366" i="1"/>
  <c r="D366" i="1"/>
  <c r="C366" i="1"/>
  <c r="H365" i="1"/>
  <c r="G365" i="1"/>
  <c r="E365" i="1"/>
  <c r="D365" i="1"/>
  <c r="C365" i="1"/>
  <c r="H364" i="1"/>
  <c r="G364" i="1"/>
  <c r="E364" i="1"/>
  <c r="D364" i="1"/>
  <c r="C364" i="1"/>
  <c r="H363" i="1"/>
  <c r="G363" i="1"/>
  <c r="E363" i="1"/>
  <c r="D363" i="1"/>
  <c r="C363" i="1"/>
  <c r="H362" i="1"/>
  <c r="G362" i="1"/>
  <c r="E362" i="1"/>
  <c r="D362" i="1"/>
  <c r="C362" i="1"/>
  <c r="H361" i="1"/>
  <c r="G361" i="1"/>
  <c r="E361" i="1"/>
  <c r="D361" i="1"/>
  <c r="C361" i="1"/>
  <c r="H360" i="1"/>
  <c r="G360" i="1"/>
  <c r="E360" i="1"/>
  <c r="D360" i="1"/>
  <c r="C360" i="1"/>
  <c r="H359" i="1"/>
  <c r="G359" i="1"/>
  <c r="E359" i="1"/>
  <c r="D359" i="1"/>
  <c r="C359" i="1"/>
  <c r="H358" i="1"/>
  <c r="G358" i="1"/>
  <c r="E358" i="1"/>
  <c r="D358" i="1"/>
  <c r="C358" i="1"/>
  <c r="H357" i="1"/>
  <c r="G357" i="1"/>
  <c r="E357" i="1"/>
  <c r="D357" i="1"/>
  <c r="C357" i="1"/>
  <c r="H356" i="1"/>
  <c r="G356" i="1"/>
  <c r="E356" i="1"/>
  <c r="D356" i="1"/>
  <c r="C356" i="1"/>
  <c r="H355" i="1"/>
  <c r="G355" i="1"/>
  <c r="E355" i="1"/>
  <c r="D355" i="1"/>
  <c r="C355" i="1"/>
  <c r="H354" i="1"/>
  <c r="G354" i="1"/>
  <c r="E354" i="1"/>
  <c r="D354" i="1"/>
  <c r="C354" i="1"/>
  <c r="H353" i="1"/>
  <c r="G353" i="1"/>
  <c r="E353" i="1"/>
  <c r="D353" i="1"/>
  <c r="C353" i="1"/>
  <c r="H352" i="1"/>
  <c r="G352" i="1"/>
  <c r="E352" i="1"/>
  <c r="D352" i="1"/>
  <c r="C352" i="1"/>
  <c r="H351" i="1"/>
  <c r="G351" i="1"/>
  <c r="E351" i="1"/>
  <c r="D351" i="1"/>
  <c r="C351" i="1"/>
  <c r="H350" i="1"/>
  <c r="G350" i="1"/>
  <c r="E350" i="1"/>
  <c r="D350" i="1"/>
  <c r="C350" i="1"/>
  <c r="H349" i="1"/>
  <c r="G349" i="1"/>
  <c r="E349" i="1"/>
  <c r="D349" i="1"/>
  <c r="C349" i="1"/>
  <c r="H348" i="1"/>
  <c r="G348" i="1"/>
  <c r="E348" i="1"/>
  <c r="D348" i="1"/>
  <c r="C348" i="1"/>
  <c r="H347" i="1"/>
  <c r="G347" i="1"/>
  <c r="E347" i="1"/>
  <c r="D347" i="1"/>
  <c r="C347" i="1"/>
  <c r="H346" i="1"/>
  <c r="G346" i="1"/>
  <c r="E346" i="1"/>
  <c r="D346" i="1"/>
  <c r="C346" i="1"/>
  <c r="H345" i="1"/>
  <c r="G345" i="1"/>
  <c r="E345" i="1"/>
  <c r="D345" i="1"/>
  <c r="C345" i="1"/>
  <c r="H344" i="1"/>
  <c r="G344" i="1"/>
  <c r="E344" i="1"/>
  <c r="D344" i="1"/>
  <c r="C344" i="1"/>
  <c r="H343" i="1"/>
  <c r="G343" i="1"/>
  <c r="E343" i="1"/>
  <c r="D343" i="1"/>
  <c r="C343" i="1"/>
  <c r="H342" i="1"/>
  <c r="G342" i="1"/>
  <c r="E342" i="1"/>
  <c r="D342" i="1"/>
  <c r="C342" i="1"/>
  <c r="H341" i="1"/>
  <c r="G341" i="1"/>
  <c r="E341" i="1"/>
  <c r="D341" i="1"/>
  <c r="C341" i="1"/>
  <c r="H340" i="1"/>
  <c r="G340" i="1"/>
  <c r="E340" i="1"/>
  <c r="D340" i="1"/>
  <c r="C340" i="1"/>
  <c r="H339" i="1"/>
  <c r="G339" i="1"/>
  <c r="E339" i="1"/>
  <c r="D339" i="1"/>
  <c r="C339" i="1"/>
  <c r="H338" i="1"/>
  <c r="G338" i="1"/>
  <c r="E338" i="1"/>
  <c r="D338" i="1"/>
  <c r="C338" i="1"/>
  <c r="H337" i="1"/>
  <c r="G337" i="1"/>
  <c r="E337" i="1"/>
  <c r="D337" i="1"/>
  <c r="C337" i="1"/>
  <c r="H336" i="1"/>
  <c r="G336" i="1"/>
  <c r="E336" i="1"/>
  <c r="D336" i="1"/>
  <c r="C336" i="1"/>
  <c r="H335" i="1"/>
  <c r="G335" i="1"/>
  <c r="E335" i="1"/>
  <c r="D335" i="1"/>
  <c r="C335" i="1"/>
  <c r="H334" i="1"/>
  <c r="G334" i="1"/>
  <c r="E334" i="1"/>
  <c r="D334" i="1"/>
  <c r="C334" i="1"/>
  <c r="H333" i="1"/>
  <c r="G333" i="1"/>
  <c r="E333" i="1"/>
  <c r="D333" i="1"/>
  <c r="C333" i="1"/>
  <c r="H332" i="1"/>
  <c r="G332" i="1"/>
  <c r="E332" i="1"/>
  <c r="D332" i="1"/>
  <c r="C332" i="1"/>
  <c r="H331" i="1"/>
  <c r="G331" i="1"/>
  <c r="E331" i="1"/>
  <c r="D331" i="1"/>
  <c r="C331" i="1"/>
  <c r="H330" i="1"/>
  <c r="G330" i="1"/>
  <c r="E330" i="1"/>
  <c r="D330" i="1"/>
  <c r="C330" i="1"/>
  <c r="H329" i="1"/>
  <c r="G329" i="1"/>
  <c r="E329" i="1"/>
  <c r="D329" i="1"/>
  <c r="C329" i="1"/>
  <c r="H328" i="1"/>
  <c r="G328" i="1"/>
  <c r="E328" i="1"/>
  <c r="D328" i="1"/>
  <c r="C328" i="1"/>
  <c r="H327" i="1"/>
  <c r="G327" i="1"/>
  <c r="E327" i="1"/>
  <c r="D327" i="1"/>
  <c r="C327" i="1"/>
  <c r="H326" i="1"/>
  <c r="G326" i="1"/>
  <c r="E326" i="1"/>
  <c r="D326" i="1"/>
  <c r="C326" i="1"/>
  <c r="H325" i="1"/>
  <c r="G325" i="1"/>
  <c r="E325" i="1"/>
  <c r="D325" i="1"/>
  <c r="C325" i="1"/>
  <c r="H324" i="1"/>
  <c r="G324" i="1"/>
  <c r="E324" i="1"/>
  <c r="D324" i="1"/>
  <c r="C324" i="1"/>
  <c r="H323" i="1"/>
  <c r="G323" i="1"/>
  <c r="E323" i="1"/>
  <c r="D323" i="1"/>
  <c r="C323" i="1"/>
  <c r="H322" i="1"/>
  <c r="G322" i="1"/>
  <c r="E322" i="1"/>
  <c r="D322" i="1"/>
  <c r="C322" i="1"/>
  <c r="H321" i="1"/>
  <c r="G321" i="1"/>
  <c r="E321" i="1"/>
  <c r="D321" i="1"/>
  <c r="C321" i="1"/>
  <c r="H320" i="1"/>
  <c r="G320" i="1"/>
  <c r="E320" i="1"/>
  <c r="D320" i="1"/>
  <c r="C320" i="1"/>
  <c r="H319" i="1"/>
  <c r="G319" i="1"/>
  <c r="E319" i="1"/>
  <c r="D319" i="1"/>
  <c r="C319" i="1"/>
  <c r="H318" i="1"/>
  <c r="G318" i="1"/>
  <c r="E318" i="1"/>
  <c r="D318" i="1"/>
  <c r="C318" i="1"/>
  <c r="H317" i="1"/>
  <c r="G317" i="1"/>
  <c r="E317" i="1"/>
  <c r="D317" i="1"/>
  <c r="C317" i="1"/>
  <c r="H316" i="1"/>
  <c r="G316" i="1"/>
  <c r="E316" i="1"/>
  <c r="D316" i="1"/>
  <c r="C316" i="1"/>
  <c r="H315" i="1"/>
  <c r="G315" i="1"/>
  <c r="E315" i="1"/>
  <c r="D315" i="1"/>
  <c r="C315" i="1"/>
  <c r="H314" i="1"/>
  <c r="G314" i="1"/>
  <c r="E314" i="1"/>
  <c r="D314" i="1"/>
  <c r="C314" i="1"/>
  <c r="H313" i="1"/>
  <c r="G313" i="1"/>
  <c r="E313" i="1"/>
  <c r="D313" i="1"/>
  <c r="C313" i="1"/>
  <c r="H312" i="1"/>
  <c r="G312" i="1"/>
  <c r="E312" i="1"/>
  <c r="D312" i="1"/>
  <c r="C312" i="1"/>
  <c r="H311" i="1"/>
  <c r="G311" i="1"/>
  <c r="E311" i="1"/>
  <c r="D311" i="1"/>
  <c r="C311" i="1"/>
  <c r="H310" i="1"/>
  <c r="G310" i="1"/>
  <c r="E310" i="1"/>
  <c r="D310" i="1"/>
  <c r="C310" i="1"/>
  <c r="H309" i="1"/>
  <c r="G309" i="1"/>
  <c r="E309" i="1"/>
  <c r="D309" i="1"/>
  <c r="C309" i="1"/>
  <c r="H308" i="1"/>
  <c r="G308" i="1"/>
  <c r="E308" i="1"/>
  <c r="D308" i="1"/>
  <c r="C308" i="1"/>
  <c r="H307" i="1"/>
  <c r="G307" i="1"/>
  <c r="E307" i="1"/>
  <c r="D307" i="1"/>
  <c r="C307" i="1"/>
  <c r="H306" i="1"/>
  <c r="G306" i="1"/>
  <c r="E306" i="1"/>
  <c r="D306" i="1"/>
  <c r="C306" i="1"/>
  <c r="H305" i="1"/>
  <c r="G305" i="1"/>
  <c r="E305" i="1"/>
  <c r="D305" i="1"/>
  <c r="C305" i="1"/>
  <c r="H304" i="1"/>
  <c r="G304" i="1"/>
  <c r="E304" i="1"/>
  <c r="D304" i="1"/>
  <c r="C304" i="1"/>
  <c r="H303" i="1"/>
  <c r="G303" i="1"/>
  <c r="E303" i="1"/>
  <c r="D303" i="1"/>
  <c r="C303" i="1"/>
  <c r="H302" i="1"/>
  <c r="G302" i="1"/>
  <c r="E302" i="1"/>
  <c r="D302" i="1"/>
  <c r="C302" i="1"/>
  <c r="H301" i="1"/>
  <c r="G301" i="1"/>
  <c r="E301" i="1"/>
  <c r="D301" i="1"/>
  <c r="C301" i="1"/>
  <c r="H300" i="1"/>
  <c r="G300" i="1"/>
  <c r="E300" i="1"/>
  <c r="D300" i="1"/>
  <c r="C300" i="1"/>
  <c r="H299" i="1"/>
  <c r="G299" i="1"/>
  <c r="E299" i="1"/>
  <c r="D299" i="1"/>
  <c r="C299" i="1"/>
  <c r="H298" i="1"/>
  <c r="G298" i="1"/>
  <c r="E298" i="1"/>
  <c r="D298" i="1"/>
  <c r="C298" i="1"/>
  <c r="H297" i="1"/>
  <c r="G297" i="1"/>
  <c r="E297" i="1"/>
  <c r="D297" i="1"/>
  <c r="C297" i="1"/>
  <c r="H296" i="1"/>
  <c r="G296" i="1"/>
  <c r="E296" i="1"/>
  <c r="D296" i="1"/>
  <c r="C296" i="1"/>
  <c r="H295" i="1"/>
  <c r="G295" i="1"/>
  <c r="E295" i="1"/>
  <c r="D295" i="1"/>
  <c r="C295" i="1"/>
  <c r="H294" i="1"/>
  <c r="G294" i="1"/>
  <c r="E294" i="1"/>
  <c r="D294" i="1"/>
  <c r="C294" i="1"/>
  <c r="H293" i="1"/>
  <c r="G293" i="1"/>
  <c r="E293" i="1"/>
  <c r="D293" i="1"/>
  <c r="C293" i="1"/>
  <c r="H292" i="1"/>
  <c r="G292" i="1"/>
  <c r="E292" i="1"/>
  <c r="D292" i="1"/>
  <c r="C292" i="1"/>
  <c r="H291" i="1"/>
  <c r="G291" i="1"/>
  <c r="E291" i="1"/>
  <c r="D291" i="1"/>
  <c r="C291" i="1"/>
  <c r="H290" i="1"/>
  <c r="G290" i="1"/>
  <c r="E290" i="1"/>
  <c r="D290" i="1"/>
  <c r="C290" i="1"/>
  <c r="H289" i="1"/>
  <c r="G289" i="1"/>
  <c r="E289" i="1"/>
  <c r="D289" i="1"/>
  <c r="C289" i="1"/>
  <c r="H288" i="1"/>
  <c r="G288" i="1"/>
  <c r="E288" i="1"/>
  <c r="D288" i="1"/>
  <c r="C288" i="1"/>
  <c r="H287" i="1"/>
  <c r="G287" i="1"/>
  <c r="E287" i="1"/>
  <c r="D287" i="1"/>
  <c r="C287" i="1"/>
  <c r="H286" i="1"/>
  <c r="G286" i="1"/>
  <c r="E286" i="1"/>
  <c r="D286" i="1"/>
  <c r="C286" i="1"/>
  <c r="H285" i="1"/>
  <c r="G285" i="1"/>
  <c r="E285" i="1"/>
  <c r="D285" i="1"/>
  <c r="C285" i="1"/>
  <c r="H284" i="1"/>
  <c r="G284" i="1"/>
  <c r="E284" i="1"/>
  <c r="D284" i="1"/>
  <c r="C284" i="1"/>
  <c r="H283" i="1"/>
  <c r="G283" i="1"/>
  <c r="E283" i="1"/>
  <c r="D283" i="1"/>
  <c r="C283" i="1"/>
  <c r="H282" i="1"/>
  <c r="G282" i="1"/>
  <c r="E282" i="1"/>
  <c r="D282" i="1"/>
  <c r="C282" i="1"/>
  <c r="H281" i="1"/>
  <c r="G281" i="1"/>
  <c r="E281" i="1"/>
  <c r="D281" i="1"/>
  <c r="C281" i="1"/>
  <c r="H280" i="1"/>
  <c r="G280" i="1"/>
  <c r="E280" i="1"/>
  <c r="D280" i="1"/>
  <c r="C280" i="1"/>
  <c r="H279" i="1"/>
  <c r="G279" i="1"/>
  <c r="E279" i="1"/>
  <c r="D279" i="1"/>
  <c r="C279" i="1"/>
  <c r="H278" i="1"/>
  <c r="G278" i="1"/>
  <c r="E278" i="1"/>
  <c r="D278" i="1"/>
  <c r="C278" i="1"/>
  <c r="H277" i="1"/>
  <c r="G277" i="1"/>
  <c r="E277" i="1"/>
  <c r="D277" i="1"/>
  <c r="C277" i="1"/>
  <c r="H276" i="1"/>
  <c r="G276" i="1"/>
  <c r="E276" i="1"/>
  <c r="D276" i="1"/>
  <c r="C276" i="1"/>
  <c r="H275" i="1"/>
  <c r="G275" i="1"/>
  <c r="E275" i="1"/>
  <c r="D275" i="1"/>
  <c r="C275" i="1"/>
  <c r="H274" i="1"/>
  <c r="G274" i="1"/>
  <c r="E274" i="1"/>
  <c r="D274" i="1"/>
  <c r="C274" i="1"/>
  <c r="H273" i="1"/>
  <c r="G273" i="1"/>
  <c r="E273" i="1"/>
  <c r="D273" i="1"/>
  <c r="C273" i="1"/>
  <c r="H272" i="1"/>
  <c r="G272" i="1"/>
  <c r="E272" i="1"/>
  <c r="D272" i="1"/>
  <c r="C272" i="1"/>
  <c r="H271" i="1"/>
  <c r="G271" i="1"/>
  <c r="E271" i="1"/>
  <c r="D271" i="1"/>
  <c r="C271" i="1"/>
  <c r="H270" i="1"/>
  <c r="G270" i="1"/>
  <c r="E270" i="1"/>
  <c r="D270" i="1"/>
  <c r="C270" i="1"/>
  <c r="H269" i="1"/>
  <c r="G269" i="1"/>
  <c r="E269" i="1"/>
  <c r="D269" i="1"/>
  <c r="C269" i="1"/>
  <c r="H268" i="1"/>
  <c r="G268" i="1"/>
  <c r="E268" i="1"/>
  <c r="D268" i="1"/>
  <c r="C268" i="1"/>
  <c r="H267" i="1"/>
  <c r="G267" i="1"/>
  <c r="E267" i="1"/>
  <c r="D267" i="1"/>
  <c r="C267" i="1"/>
  <c r="H266" i="1"/>
  <c r="G266" i="1"/>
  <c r="E266" i="1"/>
  <c r="D266" i="1"/>
  <c r="C266" i="1"/>
  <c r="H265" i="1"/>
  <c r="G265" i="1"/>
  <c r="E265" i="1"/>
  <c r="D265" i="1"/>
  <c r="C265" i="1"/>
  <c r="H264" i="1"/>
  <c r="G264" i="1"/>
  <c r="E264" i="1"/>
  <c r="D264" i="1"/>
  <c r="C264" i="1"/>
  <c r="H263" i="1"/>
  <c r="G263" i="1"/>
  <c r="E263" i="1"/>
  <c r="D263" i="1"/>
  <c r="C263" i="1"/>
  <c r="H262" i="1"/>
  <c r="G262" i="1"/>
  <c r="E262" i="1"/>
  <c r="D262" i="1"/>
  <c r="C262" i="1"/>
  <c r="H261" i="1"/>
  <c r="G261" i="1"/>
  <c r="E261" i="1"/>
  <c r="D261" i="1"/>
  <c r="C261" i="1"/>
  <c r="H260" i="1"/>
  <c r="G260" i="1"/>
  <c r="E260" i="1"/>
  <c r="D260" i="1"/>
  <c r="C260" i="1"/>
  <c r="H259" i="1"/>
  <c r="G259" i="1"/>
  <c r="E259" i="1"/>
  <c r="D259" i="1"/>
  <c r="C259" i="1"/>
  <c r="H258" i="1"/>
  <c r="G258" i="1"/>
  <c r="E258" i="1"/>
  <c r="D258" i="1"/>
  <c r="C258" i="1"/>
  <c r="H257" i="1"/>
  <c r="G257" i="1"/>
  <c r="E257" i="1"/>
  <c r="D257" i="1"/>
  <c r="C257" i="1"/>
  <c r="H256" i="1"/>
  <c r="G256" i="1"/>
  <c r="E256" i="1"/>
  <c r="D256" i="1"/>
  <c r="C256" i="1"/>
  <c r="H255" i="1"/>
  <c r="G255" i="1"/>
  <c r="E255" i="1"/>
  <c r="D255" i="1"/>
  <c r="C255" i="1"/>
  <c r="H254" i="1"/>
  <c r="G254" i="1"/>
  <c r="E254" i="1"/>
  <c r="D254" i="1"/>
  <c r="C254" i="1"/>
  <c r="H253" i="1"/>
  <c r="G253" i="1"/>
  <c r="E253" i="1"/>
  <c r="D253" i="1"/>
  <c r="C253" i="1"/>
  <c r="H252" i="1"/>
  <c r="G252" i="1"/>
  <c r="E252" i="1"/>
  <c r="D252" i="1"/>
  <c r="C252" i="1"/>
  <c r="H251" i="1"/>
  <c r="G251" i="1"/>
  <c r="E251" i="1"/>
  <c r="D251" i="1"/>
  <c r="C251" i="1"/>
  <c r="H250" i="1"/>
  <c r="G250" i="1"/>
  <c r="E250" i="1"/>
  <c r="D250" i="1"/>
  <c r="C250" i="1"/>
  <c r="H249" i="1"/>
  <c r="G249" i="1"/>
  <c r="E249" i="1"/>
  <c r="D249" i="1"/>
  <c r="C249" i="1"/>
  <c r="H248" i="1"/>
  <c r="G248" i="1"/>
  <c r="E248" i="1"/>
  <c r="D248" i="1"/>
  <c r="C248" i="1"/>
  <c r="H247" i="1"/>
  <c r="G247" i="1"/>
  <c r="E247" i="1"/>
  <c r="D247" i="1"/>
  <c r="C247" i="1"/>
  <c r="H246" i="1"/>
  <c r="G246" i="1"/>
  <c r="E246" i="1"/>
  <c r="D246" i="1"/>
  <c r="C246" i="1"/>
  <c r="H245" i="1"/>
  <c r="G245" i="1"/>
  <c r="E245" i="1"/>
  <c r="D245" i="1"/>
  <c r="C245" i="1"/>
  <c r="H244" i="1"/>
  <c r="G244" i="1"/>
  <c r="E244" i="1"/>
  <c r="D244" i="1"/>
  <c r="C244" i="1"/>
  <c r="H243" i="1"/>
  <c r="G243" i="1"/>
  <c r="E243" i="1"/>
  <c r="D243" i="1"/>
  <c r="C243" i="1"/>
  <c r="H242" i="1"/>
  <c r="G242" i="1"/>
  <c r="E242" i="1"/>
  <c r="D242" i="1"/>
  <c r="C242" i="1"/>
  <c r="H241" i="1"/>
  <c r="G241" i="1"/>
  <c r="E241" i="1"/>
  <c r="D241" i="1"/>
  <c r="C241" i="1"/>
  <c r="H240" i="1"/>
  <c r="G240" i="1"/>
  <c r="E240" i="1"/>
  <c r="D240" i="1"/>
  <c r="C240" i="1"/>
  <c r="H239" i="1"/>
  <c r="G239" i="1"/>
  <c r="E239" i="1"/>
  <c r="D239" i="1"/>
  <c r="C239" i="1"/>
  <c r="H238" i="1"/>
  <c r="G238" i="1"/>
  <c r="E238" i="1"/>
  <c r="D238" i="1"/>
  <c r="C238" i="1"/>
  <c r="H237" i="1"/>
  <c r="G237" i="1"/>
  <c r="E237" i="1"/>
  <c r="D237" i="1"/>
  <c r="C237" i="1"/>
  <c r="H236" i="1"/>
  <c r="G236" i="1"/>
  <c r="E236" i="1"/>
  <c r="D236" i="1"/>
  <c r="C236" i="1"/>
  <c r="H235" i="1"/>
  <c r="G235" i="1"/>
  <c r="E235" i="1"/>
  <c r="D235" i="1"/>
  <c r="C235" i="1"/>
  <c r="H234" i="1"/>
  <c r="G234" i="1"/>
  <c r="E234" i="1"/>
  <c r="D234" i="1"/>
  <c r="C234" i="1"/>
  <c r="H233" i="1"/>
  <c r="G233" i="1"/>
  <c r="E233" i="1"/>
  <c r="D233" i="1"/>
  <c r="C233" i="1"/>
  <c r="H232" i="1"/>
  <c r="G232" i="1"/>
  <c r="E232" i="1"/>
  <c r="D232" i="1"/>
  <c r="C232" i="1"/>
  <c r="H231" i="1"/>
  <c r="G231" i="1"/>
  <c r="E231" i="1"/>
  <c r="D231" i="1"/>
  <c r="C231" i="1"/>
  <c r="H230" i="1"/>
  <c r="G230" i="1"/>
  <c r="E230" i="1"/>
  <c r="D230" i="1"/>
  <c r="C230" i="1"/>
  <c r="H229" i="1"/>
  <c r="G229" i="1"/>
  <c r="E229" i="1"/>
  <c r="D229" i="1"/>
  <c r="C229" i="1"/>
  <c r="H228" i="1"/>
  <c r="G228" i="1"/>
  <c r="E228" i="1"/>
  <c r="D228" i="1"/>
  <c r="C228" i="1"/>
  <c r="H227" i="1"/>
  <c r="G227" i="1"/>
  <c r="E227" i="1"/>
  <c r="D227" i="1"/>
  <c r="C227" i="1"/>
  <c r="H226" i="1"/>
  <c r="G226" i="1"/>
  <c r="E226" i="1"/>
  <c r="D226" i="1"/>
  <c r="C226" i="1"/>
  <c r="H225" i="1"/>
  <c r="G225" i="1"/>
  <c r="E225" i="1"/>
  <c r="D225" i="1"/>
  <c r="C225" i="1"/>
  <c r="H224" i="1"/>
  <c r="G224" i="1"/>
  <c r="E224" i="1"/>
  <c r="D224" i="1"/>
  <c r="C224" i="1"/>
  <c r="H223" i="1"/>
  <c r="G223" i="1"/>
  <c r="E223" i="1"/>
  <c r="D223" i="1"/>
  <c r="C223" i="1"/>
  <c r="H222" i="1"/>
  <c r="G222" i="1"/>
  <c r="E222" i="1"/>
  <c r="D222" i="1"/>
  <c r="C222" i="1"/>
  <c r="H221" i="1"/>
  <c r="G221" i="1"/>
  <c r="E221" i="1"/>
  <c r="D221" i="1"/>
  <c r="C221" i="1"/>
  <c r="H220" i="1"/>
  <c r="G220" i="1"/>
  <c r="E220" i="1"/>
  <c r="D220" i="1"/>
  <c r="C220" i="1"/>
  <c r="H219" i="1"/>
  <c r="G219" i="1"/>
  <c r="E219" i="1"/>
  <c r="D219" i="1"/>
  <c r="C219" i="1"/>
  <c r="H218" i="1"/>
  <c r="G218" i="1"/>
  <c r="E218" i="1"/>
  <c r="D218" i="1"/>
  <c r="C218" i="1"/>
  <c r="H217" i="1"/>
  <c r="G217" i="1"/>
  <c r="E217" i="1"/>
  <c r="D217" i="1"/>
  <c r="C217" i="1"/>
  <c r="H216" i="1"/>
  <c r="G216" i="1"/>
  <c r="E216" i="1"/>
  <c r="D216" i="1"/>
  <c r="C216" i="1"/>
  <c r="H215" i="1"/>
  <c r="G215" i="1"/>
  <c r="E215" i="1"/>
  <c r="D215" i="1"/>
  <c r="C215" i="1"/>
  <c r="H214" i="1"/>
  <c r="G214" i="1"/>
  <c r="E214" i="1"/>
  <c r="D214" i="1"/>
  <c r="C214" i="1"/>
  <c r="H213" i="1"/>
  <c r="G213" i="1"/>
  <c r="E213" i="1"/>
  <c r="D213" i="1"/>
  <c r="C213" i="1"/>
  <c r="H212" i="1"/>
  <c r="G212" i="1"/>
  <c r="E212" i="1"/>
  <c r="D212" i="1"/>
  <c r="C212" i="1"/>
  <c r="H211" i="1"/>
  <c r="G211" i="1"/>
  <c r="E211" i="1"/>
  <c r="D211" i="1"/>
  <c r="C211" i="1"/>
  <c r="H210" i="1"/>
  <c r="G210" i="1"/>
  <c r="E210" i="1"/>
  <c r="D210" i="1"/>
  <c r="C210" i="1"/>
  <c r="H209" i="1"/>
  <c r="G209" i="1"/>
  <c r="E209" i="1"/>
  <c r="D209" i="1"/>
  <c r="C209" i="1"/>
  <c r="H208" i="1"/>
  <c r="G208" i="1"/>
  <c r="E208" i="1"/>
  <c r="D208" i="1"/>
  <c r="C208" i="1"/>
  <c r="H207" i="1"/>
  <c r="G207" i="1"/>
  <c r="E207" i="1"/>
  <c r="D207" i="1"/>
  <c r="C207" i="1"/>
  <c r="H206" i="1"/>
  <c r="G206" i="1"/>
  <c r="E206" i="1"/>
  <c r="D206" i="1"/>
  <c r="C206" i="1"/>
  <c r="H205" i="1"/>
  <c r="G205" i="1"/>
  <c r="E205" i="1"/>
  <c r="D205" i="1"/>
  <c r="C205" i="1"/>
  <c r="H204" i="1"/>
  <c r="G204" i="1"/>
  <c r="E204" i="1"/>
  <c r="D204" i="1"/>
  <c r="C204" i="1"/>
  <c r="H203" i="1"/>
  <c r="G203" i="1"/>
  <c r="E203" i="1"/>
  <c r="D203" i="1"/>
  <c r="C203" i="1"/>
  <c r="H202" i="1"/>
  <c r="G202" i="1"/>
  <c r="E202" i="1"/>
  <c r="D202" i="1"/>
  <c r="C202" i="1"/>
  <c r="H201" i="1"/>
  <c r="G201" i="1"/>
  <c r="E201" i="1"/>
  <c r="D201" i="1"/>
  <c r="C201" i="1"/>
  <c r="H200" i="1"/>
  <c r="G200" i="1"/>
  <c r="E200" i="1"/>
  <c r="D200" i="1"/>
  <c r="C200" i="1"/>
  <c r="H199" i="1"/>
  <c r="G199" i="1"/>
  <c r="E199" i="1"/>
  <c r="D199" i="1"/>
  <c r="C199" i="1"/>
  <c r="H198" i="1"/>
  <c r="G198" i="1"/>
  <c r="E198" i="1"/>
  <c r="D198" i="1"/>
  <c r="C198" i="1"/>
  <c r="H197" i="1"/>
  <c r="G197" i="1"/>
  <c r="E197" i="1"/>
  <c r="D197" i="1"/>
  <c r="C197" i="1"/>
  <c r="H196" i="1"/>
  <c r="G196" i="1"/>
  <c r="E196" i="1"/>
  <c r="D196" i="1"/>
  <c r="C196" i="1"/>
  <c r="H195" i="1"/>
  <c r="G195" i="1"/>
  <c r="E195" i="1"/>
  <c r="D195" i="1"/>
  <c r="C195" i="1"/>
  <c r="H194" i="1"/>
  <c r="G194" i="1"/>
  <c r="E194" i="1"/>
  <c r="D194" i="1"/>
  <c r="C194" i="1"/>
  <c r="H193" i="1"/>
  <c r="G193" i="1"/>
  <c r="E193" i="1"/>
  <c r="D193" i="1"/>
  <c r="C193" i="1"/>
  <c r="H192" i="1"/>
  <c r="G192" i="1"/>
  <c r="E192" i="1"/>
  <c r="D192" i="1"/>
  <c r="C192" i="1"/>
  <c r="H191" i="1"/>
  <c r="G191" i="1"/>
  <c r="E191" i="1"/>
  <c r="D191" i="1"/>
  <c r="C191" i="1"/>
  <c r="H190" i="1"/>
  <c r="G190" i="1"/>
  <c r="E190" i="1"/>
  <c r="D190" i="1"/>
  <c r="C190" i="1"/>
  <c r="H189" i="1"/>
  <c r="G189" i="1"/>
  <c r="E189" i="1"/>
  <c r="D189" i="1"/>
  <c r="C189" i="1"/>
  <c r="H188" i="1"/>
  <c r="G188" i="1"/>
  <c r="E188" i="1"/>
  <c r="D188" i="1"/>
  <c r="C188" i="1"/>
  <c r="H187" i="1"/>
  <c r="G187" i="1"/>
  <c r="E187" i="1"/>
  <c r="D187" i="1"/>
  <c r="C187" i="1"/>
  <c r="H186" i="1"/>
  <c r="G186" i="1"/>
  <c r="E186" i="1"/>
  <c r="D186" i="1"/>
  <c r="C186" i="1"/>
  <c r="H185" i="1"/>
  <c r="G185" i="1"/>
  <c r="E185" i="1"/>
  <c r="D185" i="1"/>
  <c r="C185" i="1"/>
  <c r="H184" i="1"/>
  <c r="G184" i="1"/>
  <c r="E184" i="1"/>
  <c r="D184" i="1"/>
  <c r="C184" i="1"/>
  <c r="H183" i="1"/>
  <c r="G183" i="1"/>
  <c r="E183" i="1"/>
  <c r="D183" i="1"/>
  <c r="C183" i="1"/>
  <c r="H182" i="1"/>
  <c r="G182" i="1"/>
  <c r="E182" i="1"/>
  <c r="D182" i="1"/>
  <c r="C182" i="1"/>
  <c r="H181" i="1"/>
  <c r="G181" i="1"/>
  <c r="E181" i="1"/>
  <c r="D181" i="1"/>
  <c r="C181" i="1"/>
  <c r="H180" i="1"/>
  <c r="G180" i="1"/>
  <c r="E180" i="1"/>
  <c r="D180" i="1"/>
  <c r="C180" i="1"/>
  <c r="H179" i="1"/>
  <c r="G179" i="1"/>
  <c r="E179" i="1"/>
  <c r="D179" i="1"/>
  <c r="C179" i="1"/>
  <c r="H178" i="1"/>
  <c r="G178" i="1"/>
  <c r="E178" i="1"/>
  <c r="D178" i="1"/>
  <c r="C178" i="1"/>
  <c r="H177" i="1"/>
  <c r="G177" i="1"/>
  <c r="E177" i="1"/>
  <c r="D177" i="1"/>
  <c r="C177" i="1"/>
  <c r="H176" i="1"/>
  <c r="G176" i="1"/>
  <c r="E176" i="1"/>
  <c r="D176" i="1"/>
  <c r="C176" i="1"/>
  <c r="H175" i="1"/>
  <c r="G175" i="1"/>
  <c r="E175" i="1"/>
  <c r="D175" i="1"/>
  <c r="C175" i="1"/>
  <c r="H174" i="1"/>
  <c r="G174" i="1"/>
  <c r="E174" i="1"/>
  <c r="D174" i="1"/>
  <c r="C174" i="1"/>
  <c r="H173" i="1"/>
  <c r="G173" i="1"/>
  <c r="E173" i="1"/>
  <c r="D173" i="1"/>
  <c r="C173" i="1"/>
  <c r="H172" i="1"/>
  <c r="G172" i="1"/>
  <c r="E172" i="1"/>
  <c r="D172" i="1"/>
  <c r="C172" i="1"/>
  <c r="H171" i="1"/>
  <c r="G171" i="1"/>
  <c r="E171" i="1"/>
  <c r="D171" i="1"/>
  <c r="C171" i="1"/>
  <c r="H170" i="1"/>
  <c r="G170" i="1"/>
  <c r="E170" i="1"/>
  <c r="D170" i="1"/>
  <c r="C170" i="1"/>
  <c r="H169" i="1"/>
  <c r="G169" i="1"/>
  <c r="E169" i="1"/>
  <c r="D169" i="1"/>
  <c r="C169" i="1"/>
  <c r="H168" i="1"/>
  <c r="G168" i="1"/>
  <c r="E168" i="1"/>
  <c r="D168" i="1"/>
  <c r="C168" i="1"/>
  <c r="H167" i="1"/>
  <c r="G167" i="1"/>
  <c r="E167" i="1"/>
  <c r="D167" i="1"/>
  <c r="C167" i="1"/>
  <c r="H166" i="1"/>
  <c r="G166" i="1"/>
  <c r="E166" i="1"/>
  <c r="D166" i="1"/>
  <c r="C166" i="1"/>
  <c r="H165" i="1"/>
  <c r="G165" i="1"/>
  <c r="E165" i="1"/>
  <c r="D165" i="1"/>
  <c r="C165" i="1"/>
  <c r="H164" i="1"/>
  <c r="G164" i="1"/>
  <c r="E164" i="1"/>
  <c r="D164" i="1"/>
  <c r="C164" i="1"/>
  <c r="H163" i="1"/>
  <c r="G163" i="1"/>
  <c r="E163" i="1"/>
  <c r="D163" i="1"/>
  <c r="C163" i="1"/>
  <c r="H162" i="1"/>
  <c r="G162" i="1"/>
  <c r="E162" i="1"/>
  <c r="D162" i="1"/>
  <c r="C162" i="1"/>
  <c r="H161" i="1"/>
  <c r="G161" i="1"/>
  <c r="E161" i="1"/>
  <c r="D161" i="1"/>
  <c r="C161" i="1"/>
  <c r="H160" i="1"/>
  <c r="G160" i="1"/>
  <c r="E160" i="1"/>
  <c r="D160" i="1"/>
  <c r="C160" i="1"/>
  <c r="H159" i="1"/>
  <c r="G159" i="1"/>
  <c r="E159" i="1"/>
  <c r="D159" i="1"/>
  <c r="C159" i="1"/>
  <c r="H158" i="1"/>
  <c r="G158" i="1"/>
  <c r="E158" i="1"/>
  <c r="D158" i="1"/>
  <c r="C158" i="1"/>
  <c r="H157" i="1"/>
  <c r="G157" i="1"/>
  <c r="E157" i="1"/>
  <c r="D157" i="1"/>
  <c r="C157" i="1"/>
  <c r="H156" i="1"/>
  <c r="G156" i="1"/>
  <c r="E156" i="1"/>
  <c r="D156" i="1"/>
  <c r="C156" i="1"/>
  <c r="H155" i="1"/>
  <c r="G155" i="1"/>
  <c r="E155" i="1"/>
  <c r="D155" i="1"/>
  <c r="C155" i="1"/>
  <c r="H154" i="1"/>
  <c r="G154" i="1"/>
  <c r="E154" i="1"/>
  <c r="D154" i="1"/>
  <c r="C154" i="1"/>
  <c r="H153" i="1"/>
  <c r="G153" i="1"/>
  <c r="E153" i="1"/>
  <c r="D153" i="1"/>
  <c r="C153" i="1"/>
  <c r="H152" i="1"/>
  <c r="G152" i="1"/>
  <c r="E152" i="1"/>
  <c r="D152" i="1"/>
  <c r="C152" i="1"/>
  <c r="H151" i="1"/>
  <c r="G151" i="1"/>
  <c r="E151" i="1"/>
  <c r="D151" i="1"/>
  <c r="C151" i="1"/>
  <c r="H150" i="1"/>
  <c r="G150" i="1"/>
  <c r="E150" i="1"/>
  <c r="D150" i="1"/>
  <c r="C150" i="1"/>
  <c r="H149" i="1"/>
  <c r="G149" i="1"/>
  <c r="E149" i="1"/>
  <c r="D149" i="1"/>
  <c r="C149" i="1"/>
  <c r="H148" i="1"/>
  <c r="G148" i="1"/>
  <c r="E148" i="1"/>
  <c r="D148" i="1"/>
  <c r="C148" i="1"/>
  <c r="H147" i="1"/>
  <c r="G147" i="1"/>
  <c r="E147" i="1"/>
  <c r="D147" i="1"/>
  <c r="C147" i="1"/>
  <c r="H146" i="1"/>
  <c r="G146" i="1"/>
  <c r="E146" i="1"/>
  <c r="D146" i="1"/>
  <c r="C146" i="1"/>
  <c r="H145" i="1"/>
  <c r="G145" i="1"/>
  <c r="E145" i="1"/>
  <c r="D145" i="1"/>
  <c r="C145" i="1"/>
  <c r="H144" i="1"/>
  <c r="G144" i="1"/>
  <c r="E144" i="1"/>
  <c r="D144" i="1"/>
  <c r="C144" i="1"/>
  <c r="H143" i="1"/>
  <c r="G143" i="1"/>
  <c r="E143" i="1"/>
  <c r="D143" i="1"/>
  <c r="C143" i="1"/>
  <c r="H142" i="1"/>
  <c r="G142" i="1"/>
  <c r="E142" i="1"/>
  <c r="D142" i="1"/>
  <c r="C142" i="1"/>
  <c r="H141" i="1"/>
  <c r="G141" i="1"/>
  <c r="E141" i="1"/>
  <c r="D141" i="1"/>
  <c r="C141" i="1"/>
  <c r="H140" i="1"/>
  <c r="G140" i="1"/>
  <c r="E140" i="1"/>
  <c r="D140" i="1"/>
  <c r="C140" i="1"/>
  <c r="H139" i="1"/>
  <c r="G139" i="1"/>
  <c r="E139" i="1"/>
  <c r="D139" i="1"/>
  <c r="C139" i="1"/>
  <c r="H138" i="1"/>
  <c r="G138" i="1"/>
  <c r="E138" i="1"/>
  <c r="D138" i="1"/>
  <c r="C138" i="1"/>
  <c r="H137" i="1"/>
  <c r="G137" i="1"/>
  <c r="E137" i="1"/>
  <c r="D137" i="1"/>
  <c r="C137" i="1"/>
  <c r="H136" i="1"/>
  <c r="G136" i="1"/>
  <c r="E136" i="1"/>
  <c r="D136" i="1"/>
  <c r="C136" i="1"/>
  <c r="H135" i="1"/>
  <c r="G135" i="1"/>
  <c r="E135" i="1"/>
  <c r="D135" i="1"/>
  <c r="C135" i="1"/>
  <c r="H134" i="1"/>
  <c r="G134" i="1"/>
  <c r="E134" i="1"/>
  <c r="D134" i="1"/>
  <c r="C134" i="1"/>
  <c r="H133" i="1"/>
  <c r="G133" i="1"/>
  <c r="E133" i="1"/>
  <c r="D133" i="1"/>
  <c r="C133" i="1"/>
  <c r="H132" i="1"/>
  <c r="G132" i="1"/>
  <c r="E132" i="1"/>
  <c r="D132" i="1"/>
  <c r="C132" i="1"/>
  <c r="H131" i="1"/>
  <c r="G131" i="1"/>
  <c r="E131" i="1"/>
  <c r="D131" i="1"/>
  <c r="C131" i="1"/>
  <c r="H130" i="1"/>
  <c r="G130" i="1"/>
  <c r="E130" i="1"/>
  <c r="D130" i="1"/>
  <c r="C130" i="1"/>
  <c r="H129" i="1"/>
  <c r="G129" i="1"/>
  <c r="E129" i="1"/>
  <c r="D129" i="1"/>
  <c r="C129" i="1"/>
  <c r="H128" i="1"/>
  <c r="G128" i="1"/>
  <c r="E128" i="1"/>
  <c r="D128" i="1"/>
  <c r="C128" i="1"/>
  <c r="H127" i="1"/>
  <c r="G127" i="1"/>
  <c r="E127" i="1"/>
  <c r="D127" i="1"/>
  <c r="C127" i="1"/>
  <c r="H126" i="1"/>
  <c r="G126" i="1"/>
  <c r="E126" i="1"/>
  <c r="D126" i="1"/>
  <c r="C126" i="1"/>
  <c r="H125" i="1"/>
  <c r="G125" i="1"/>
  <c r="E125" i="1"/>
  <c r="D125" i="1"/>
  <c r="C125" i="1"/>
  <c r="H124" i="1"/>
  <c r="G124" i="1"/>
  <c r="E124" i="1"/>
  <c r="D124" i="1"/>
  <c r="C124" i="1"/>
  <c r="H123" i="1"/>
  <c r="G123" i="1"/>
  <c r="E123" i="1"/>
  <c r="D123" i="1"/>
  <c r="C123" i="1"/>
  <c r="H122" i="1"/>
  <c r="G122" i="1"/>
  <c r="E122" i="1"/>
  <c r="D122" i="1"/>
  <c r="C122" i="1"/>
  <c r="H121" i="1"/>
  <c r="G121" i="1"/>
  <c r="E121" i="1"/>
  <c r="D121" i="1"/>
  <c r="C121" i="1"/>
  <c r="H120" i="1"/>
  <c r="G120" i="1"/>
  <c r="E120" i="1"/>
  <c r="D120" i="1"/>
  <c r="C120" i="1"/>
  <c r="H119" i="1"/>
  <c r="G119" i="1"/>
  <c r="E119" i="1"/>
  <c r="D119" i="1"/>
  <c r="C119" i="1"/>
  <c r="H118" i="1"/>
  <c r="G118" i="1"/>
  <c r="E118" i="1"/>
  <c r="D118" i="1"/>
  <c r="C118" i="1"/>
  <c r="H117" i="1"/>
  <c r="G117" i="1"/>
  <c r="E117" i="1"/>
  <c r="D117" i="1"/>
  <c r="C117" i="1"/>
  <c r="H116" i="1"/>
  <c r="G116" i="1"/>
  <c r="E116" i="1"/>
  <c r="D116" i="1"/>
  <c r="C116" i="1"/>
  <c r="H115" i="1"/>
  <c r="G115" i="1"/>
  <c r="E115" i="1"/>
  <c r="D115" i="1"/>
  <c r="C115" i="1"/>
  <c r="H114" i="1"/>
  <c r="G114" i="1"/>
  <c r="E114" i="1"/>
  <c r="D114" i="1"/>
  <c r="C114" i="1"/>
  <c r="H113" i="1"/>
  <c r="G113" i="1"/>
  <c r="E113" i="1"/>
  <c r="D113" i="1"/>
  <c r="C113" i="1"/>
  <c r="H112" i="1"/>
  <c r="G112" i="1"/>
  <c r="E112" i="1"/>
  <c r="D112" i="1"/>
  <c r="C112" i="1"/>
  <c r="H111" i="1"/>
  <c r="G111" i="1"/>
  <c r="E111" i="1"/>
  <c r="D111" i="1"/>
  <c r="C111" i="1"/>
  <c r="H110" i="1"/>
  <c r="G110" i="1"/>
  <c r="E110" i="1"/>
  <c r="D110" i="1"/>
  <c r="C110" i="1"/>
  <c r="H109" i="1"/>
  <c r="G109" i="1"/>
  <c r="E109" i="1"/>
  <c r="D109" i="1"/>
  <c r="C109" i="1"/>
  <c r="H108" i="1"/>
  <c r="G108" i="1"/>
  <c r="E108" i="1"/>
  <c r="D108" i="1"/>
  <c r="C108" i="1"/>
  <c r="H107" i="1"/>
  <c r="G107" i="1"/>
  <c r="E107" i="1"/>
  <c r="D107" i="1"/>
  <c r="C107" i="1"/>
  <c r="H106" i="1"/>
  <c r="G106" i="1"/>
  <c r="E106" i="1"/>
  <c r="D106" i="1"/>
  <c r="C106" i="1"/>
  <c r="H105" i="1"/>
  <c r="G105" i="1"/>
  <c r="E105" i="1"/>
  <c r="D105" i="1"/>
  <c r="C105" i="1"/>
  <c r="H104" i="1"/>
  <c r="G104" i="1"/>
  <c r="E104" i="1"/>
  <c r="D104" i="1"/>
  <c r="C104" i="1"/>
  <c r="H103" i="1"/>
  <c r="G103" i="1"/>
  <c r="E103" i="1"/>
  <c r="D103" i="1"/>
  <c r="C103" i="1"/>
  <c r="H102" i="1"/>
  <c r="G102" i="1"/>
  <c r="E102" i="1"/>
  <c r="D102" i="1"/>
  <c r="C102" i="1"/>
  <c r="H101" i="1"/>
  <c r="G101" i="1"/>
  <c r="E101" i="1"/>
  <c r="D101" i="1"/>
  <c r="C101" i="1"/>
  <c r="H100" i="1"/>
  <c r="G100" i="1"/>
  <c r="E100" i="1"/>
  <c r="D100" i="1"/>
  <c r="C100" i="1"/>
  <c r="H99" i="1"/>
  <c r="G99" i="1"/>
  <c r="E99" i="1"/>
  <c r="D99" i="1"/>
  <c r="C99" i="1"/>
  <c r="H98" i="1"/>
  <c r="G98" i="1"/>
  <c r="E98" i="1"/>
  <c r="D98" i="1"/>
  <c r="C98" i="1"/>
  <c r="H97" i="1"/>
  <c r="G97" i="1"/>
  <c r="E97" i="1"/>
  <c r="D97" i="1"/>
  <c r="C97" i="1"/>
  <c r="H96" i="1"/>
  <c r="G96" i="1"/>
  <c r="E96" i="1"/>
  <c r="D96" i="1"/>
  <c r="C96" i="1"/>
  <c r="H95" i="1"/>
  <c r="G95" i="1"/>
  <c r="E95" i="1"/>
  <c r="D95" i="1"/>
  <c r="C95" i="1"/>
  <c r="H94" i="1"/>
  <c r="G94" i="1"/>
  <c r="E94" i="1"/>
  <c r="D94" i="1"/>
  <c r="C94" i="1"/>
  <c r="H93" i="1"/>
  <c r="G93" i="1"/>
  <c r="E93" i="1"/>
  <c r="D93" i="1"/>
  <c r="C93" i="1"/>
  <c r="H92" i="1"/>
  <c r="G92" i="1"/>
  <c r="E92" i="1"/>
  <c r="D92" i="1"/>
  <c r="C92" i="1"/>
  <c r="H91" i="1"/>
  <c r="G91" i="1"/>
  <c r="E91" i="1"/>
  <c r="D91" i="1"/>
  <c r="C91" i="1"/>
  <c r="H90" i="1"/>
  <c r="G90" i="1"/>
  <c r="E90" i="1"/>
  <c r="D90" i="1"/>
  <c r="C90" i="1"/>
  <c r="H89" i="1"/>
  <c r="G89" i="1"/>
  <c r="E89" i="1"/>
  <c r="D89" i="1"/>
  <c r="C89" i="1"/>
  <c r="H88" i="1"/>
  <c r="G88" i="1"/>
  <c r="E88" i="1"/>
  <c r="D88" i="1"/>
  <c r="C88" i="1"/>
  <c r="H87" i="1"/>
  <c r="G87" i="1"/>
  <c r="E87" i="1"/>
  <c r="D87" i="1"/>
  <c r="C87" i="1"/>
  <c r="H86" i="1"/>
  <c r="G86" i="1"/>
  <c r="E86" i="1"/>
  <c r="D86" i="1"/>
  <c r="C86" i="1"/>
  <c r="H85" i="1"/>
  <c r="G85" i="1"/>
  <c r="E85" i="1"/>
  <c r="D85" i="1"/>
  <c r="C85" i="1"/>
  <c r="H84" i="1"/>
  <c r="G84" i="1"/>
  <c r="E84" i="1"/>
  <c r="D84" i="1"/>
  <c r="C84" i="1"/>
  <c r="H83" i="1"/>
  <c r="G83" i="1"/>
  <c r="E83" i="1"/>
  <c r="D83" i="1"/>
  <c r="C83" i="1"/>
  <c r="H82" i="1"/>
  <c r="G82" i="1"/>
  <c r="E82" i="1"/>
  <c r="D82" i="1"/>
  <c r="C82" i="1"/>
  <c r="H81" i="1"/>
  <c r="G81" i="1"/>
  <c r="E81" i="1"/>
  <c r="D81" i="1"/>
  <c r="C81" i="1"/>
  <c r="H80" i="1"/>
  <c r="G80" i="1"/>
  <c r="E80" i="1"/>
  <c r="D80" i="1"/>
  <c r="C80" i="1"/>
  <c r="H79" i="1"/>
  <c r="G79" i="1"/>
  <c r="E79" i="1"/>
  <c r="D79" i="1"/>
  <c r="C79" i="1"/>
  <c r="H78" i="1"/>
  <c r="G78" i="1"/>
  <c r="E78" i="1"/>
  <c r="D78" i="1"/>
  <c r="C78" i="1"/>
  <c r="H77" i="1"/>
  <c r="G77" i="1"/>
  <c r="E77" i="1"/>
  <c r="D77" i="1"/>
  <c r="C77" i="1"/>
  <c r="H76" i="1"/>
  <c r="G76" i="1"/>
  <c r="E76" i="1"/>
  <c r="D76" i="1"/>
  <c r="C76" i="1"/>
  <c r="H75" i="1"/>
  <c r="G75" i="1"/>
  <c r="E75" i="1"/>
  <c r="D75" i="1"/>
  <c r="C75" i="1"/>
  <c r="H74" i="1"/>
  <c r="G74" i="1"/>
  <c r="E74" i="1"/>
  <c r="D74" i="1"/>
  <c r="C74" i="1"/>
  <c r="H73" i="1"/>
  <c r="G73" i="1"/>
  <c r="E73" i="1"/>
  <c r="D73" i="1"/>
  <c r="C73" i="1"/>
  <c r="H72" i="1"/>
  <c r="G72" i="1"/>
  <c r="E72" i="1"/>
  <c r="D72" i="1"/>
  <c r="C72" i="1"/>
  <c r="H71" i="1"/>
  <c r="G71" i="1"/>
  <c r="E71" i="1"/>
  <c r="D71" i="1"/>
  <c r="C71" i="1"/>
  <c r="H70" i="1"/>
  <c r="G70" i="1"/>
  <c r="E70" i="1"/>
  <c r="D70" i="1"/>
  <c r="C70" i="1"/>
  <c r="H69" i="1"/>
  <c r="G69" i="1"/>
  <c r="E69" i="1"/>
  <c r="D69" i="1"/>
  <c r="C69" i="1"/>
  <c r="H68" i="1"/>
  <c r="G68" i="1"/>
  <c r="E68" i="1"/>
  <c r="D68" i="1"/>
  <c r="C68" i="1"/>
  <c r="H67" i="1"/>
  <c r="G67" i="1"/>
  <c r="E67" i="1"/>
  <c r="D67" i="1"/>
  <c r="C67" i="1"/>
  <c r="H66" i="1"/>
  <c r="G66" i="1"/>
  <c r="E66" i="1"/>
  <c r="D66" i="1"/>
  <c r="C66" i="1"/>
  <c r="H65" i="1"/>
  <c r="G65" i="1"/>
  <c r="E65" i="1"/>
  <c r="D65" i="1"/>
  <c r="C65" i="1"/>
  <c r="H64" i="1"/>
  <c r="G64" i="1"/>
  <c r="E64" i="1"/>
  <c r="D64" i="1"/>
  <c r="C64" i="1"/>
  <c r="H63" i="1"/>
  <c r="G63" i="1"/>
  <c r="E63" i="1"/>
  <c r="D63" i="1"/>
  <c r="C63" i="1"/>
  <c r="H62" i="1"/>
  <c r="G62" i="1"/>
  <c r="E62" i="1"/>
  <c r="D62" i="1"/>
  <c r="C62" i="1"/>
  <c r="H61" i="1"/>
  <c r="G61" i="1"/>
  <c r="E61" i="1"/>
  <c r="D61" i="1"/>
  <c r="C61" i="1"/>
  <c r="H60" i="1"/>
  <c r="G60" i="1"/>
  <c r="E60" i="1"/>
  <c r="D60" i="1"/>
  <c r="C60" i="1"/>
  <c r="H59" i="1"/>
  <c r="G59" i="1"/>
  <c r="E59" i="1"/>
  <c r="D59" i="1"/>
  <c r="C59" i="1"/>
  <c r="H58" i="1"/>
  <c r="G58" i="1"/>
  <c r="E58" i="1"/>
  <c r="D58" i="1"/>
  <c r="C58" i="1"/>
  <c r="H57" i="1"/>
  <c r="G57" i="1"/>
  <c r="E57" i="1"/>
  <c r="D57" i="1"/>
  <c r="C57" i="1"/>
  <c r="H56" i="1"/>
  <c r="G56" i="1"/>
  <c r="E56" i="1"/>
  <c r="D56" i="1"/>
  <c r="C56" i="1"/>
  <c r="H55" i="1"/>
  <c r="G55" i="1"/>
  <c r="E55" i="1"/>
  <c r="D55" i="1"/>
  <c r="C55" i="1"/>
  <c r="H54" i="1"/>
  <c r="G54" i="1"/>
  <c r="E54" i="1"/>
  <c r="D54" i="1"/>
  <c r="C54" i="1"/>
  <c r="H53" i="1"/>
  <c r="G53" i="1"/>
  <c r="E53" i="1"/>
  <c r="D53" i="1"/>
  <c r="C53" i="1"/>
  <c r="H52" i="1"/>
  <c r="G52" i="1"/>
  <c r="E52" i="1"/>
  <c r="D52" i="1"/>
  <c r="C52" i="1"/>
  <c r="H51" i="1"/>
  <c r="G51" i="1"/>
  <c r="E51" i="1"/>
  <c r="D51" i="1"/>
  <c r="C51" i="1"/>
  <c r="H50" i="1"/>
  <c r="G50" i="1"/>
  <c r="E50" i="1"/>
  <c r="D50" i="1"/>
  <c r="C50" i="1"/>
  <c r="H49" i="1"/>
  <c r="G49" i="1"/>
  <c r="E49" i="1"/>
  <c r="D49" i="1"/>
  <c r="C49" i="1"/>
  <c r="H48" i="1"/>
  <c r="G48" i="1"/>
  <c r="E48" i="1"/>
  <c r="D48" i="1"/>
  <c r="C48" i="1"/>
  <c r="H47" i="1"/>
  <c r="G47" i="1"/>
  <c r="E47" i="1"/>
  <c r="D47" i="1"/>
  <c r="C47" i="1"/>
  <c r="H46" i="1"/>
  <c r="G46" i="1"/>
  <c r="E46" i="1"/>
  <c r="D46" i="1"/>
  <c r="C46" i="1"/>
  <c r="H45" i="1"/>
  <c r="G45" i="1"/>
  <c r="E45" i="1"/>
  <c r="D45" i="1"/>
  <c r="C45" i="1"/>
  <c r="H44" i="1"/>
  <c r="G44" i="1"/>
  <c r="E44" i="1"/>
  <c r="D44" i="1"/>
  <c r="C44" i="1"/>
  <c r="H43" i="1"/>
  <c r="G43" i="1"/>
  <c r="E43" i="1"/>
  <c r="D43" i="1"/>
  <c r="C43" i="1"/>
  <c r="H42" i="1"/>
  <c r="G42" i="1"/>
  <c r="E42" i="1"/>
  <c r="D42" i="1"/>
  <c r="C42" i="1"/>
  <c r="H41" i="1"/>
  <c r="G41" i="1"/>
  <c r="E41" i="1"/>
  <c r="D41" i="1"/>
  <c r="C41" i="1"/>
  <c r="H40" i="1"/>
  <c r="G40" i="1"/>
  <c r="E40" i="1"/>
  <c r="D40" i="1"/>
  <c r="C40" i="1"/>
  <c r="H39" i="1"/>
  <c r="G39" i="1"/>
  <c r="E39" i="1"/>
  <c r="D39" i="1"/>
  <c r="C39" i="1"/>
  <c r="H38" i="1"/>
  <c r="G38" i="1"/>
  <c r="E38" i="1"/>
  <c r="D38" i="1"/>
  <c r="C38" i="1"/>
  <c r="H37" i="1"/>
  <c r="G37" i="1"/>
  <c r="E37" i="1"/>
  <c r="D37" i="1"/>
  <c r="C37" i="1"/>
  <c r="H36" i="1"/>
  <c r="G36" i="1"/>
  <c r="E36" i="1"/>
  <c r="D36" i="1"/>
  <c r="C36" i="1"/>
  <c r="H35" i="1"/>
  <c r="G35" i="1"/>
  <c r="E35" i="1"/>
  <c r="D35" i="1"/>
  <c r="C35" i="1"/>
  <c r="H34" i="1"/>
  <c r="G34" i="1"/>
  <c r="E34" i="1"/>
  <c r="D34" i="1"/>
  <c r="C34" i="1"/>
  <c r="H33" i="1"/>
  <c r="G33" i="1"/>
  <c r="E33" i="1"/>
  <c r="D33" i="1"/>
  <c r="C33" i="1"/>
  <c r="H32" i="1"/>
  <c r="G32" i="1"/>
  <c r="E32" i="1"/>
  <c r="D32" i="1"/>
  <c r="C32" i="1"/>
  <c r="H31" i="1"/>
  <c r="G31" i="1"/>
  <c r="E31" i="1"/>
  <c r="D31" i="1"/>
  <c r="C31" i="1"/>
  <c r="H30" i="1"/>
  <c r="G30" i="1"/>
  <c r="E30" i="1"/>
  <c r="D30" i="1"/>
  <c r="C30" i="1"/>
  <c r="H29" i="1"/>
  <c r="G29" i="1"/>
  <c r="E29" i="1"/>
  <c r="D29" i="1"/>
  <c r="C29" i="1"/>
  <c r="H28" i="1"/>
  <c r="G28" i="1"/>
  <c r="E28" i="1"/>
  <c r="D28" i="1"/>
  <c r="C28" i="1"/>
  <c r="H27" i="1"/>
  <c r="G27" i="1"/>
  <c r="E27" i="1"/>
  <c r="D27" i="1"/>
  <c r="C27" i="1"/>
  <c r="H26" i="1"/>
  <c r="G26" i="1"/>
  <c r="E26" i="1"/>
  <c r="D26" i="1"/>
  <c r="C26" i="1"/>
  <c r="H25" i="1"/>
  <c r="G25" i="1"/>
  <c r="E25" i="1"/>
  <c r="D25" i="1"/>
  <c r="C25" i="1"/>
  <c r="H24" i="1"/>
  <c r="G24" i="1"/>
  <c r="E24" i="1"/>
  <c r="D24" i="1"/>
  <c r="C24" i="1"/>
  <c r="H23" i="1"/>
  <c r="G23" i="1"/>
  <c r="E23" i="1"/>
  <c r="D23" i="1"/>
  <c r="C23" i="1"/>
  <c r="H22" i="1"/>
  <c r="G22" i="1"/>
  <c r="E22" i="1"/>
  <c r="D22" i="1"/>
  <c r="C22" i="1"/>
  <c r="H21" i="1"/>
  <c r="G21" i="1"/>
  <c r="E21" i="1"/>
  <c r="D21" i="1"/>
  <c r="C21" i="1"/>
  <c r="H20" i="1"/>
  <c r="G20" i="1"/>
  <c r="E20" i="1"/>
  <c r="D20" i="1"/>
  <c r="C20" i="1"/>
  <c r="H19" i="1"/>
  <c r="G19" i="1"/>
  <c r="E19" i="1"/>
  <c r="D19" i="1"/>
  <c r="C19" i="1"/>
  <c r="H18" i="1"/>
  <c r="G18" i="1"/>
  <c r="E18" i="1"/>
  <c r="D18" i="1"/>
  <c r="C18" i="1"/>
  <c r="H17" i="1"/>
  <c r="G17" i="1"/>
  <c r="E17" i="1"/>
  <c r="D17" i="1"/>
  <c r="C17" i="1"/>
  <c r="H16" i="1"/>
  <c r="G16" i="1"/>
  <c r="E16" i="1"/>
  <c r="D16" i="1"/>
  <c r="C16" i="1"/>
  <c r="H15" i="1"/>
  <c r="G15" i="1"/>
  <c r="E15" i="1"/>
  <c r="D15" i="1"/>
  <c r="C15" i="1"/>
  <c r="H14" i="1"/>
  <c r="G14" i="1"/>
  <c r="E14" i="1"/>
  <c r="D14" i="1"/>
  <c r="C14" i="1"/>
  <c r="H13" i="1"/>
  <c r="G13" i="1"/>
  <c r="E13" i="1"/>
  <c r="D13" i="1"/>
  <c r="C13" i="1"/>
  <c r="H12" i="1"/>
  <c r="G12" i="1"/>
  <c r="E12" i="1"/>
  <c r="D12" i="1"/>
  <c r="C12" i="1"/>
  <c r="H11" i="1"/>
  <c r="G11" i="1"/>
  <c r="E11" i="1"/>
  <c r="D11" i="1"/>
  <c r="C11" i="1"/>
  <c r="H10" i="1"/>
  <c r="G10" i="1"/>
  <c r="E10" i="1"/>
  <c r="D10" i="1"/>
  <c r="C10" i="1"/>
  <c r="H9" i="1"/>
  <c r="G9" i="1"/>
  <c r="E9" i="1"/>
  <c r="D9" i="1"/>
  <c r="C9" i="1"/>
  <c r="H8" i="1"/>
  <c r="G8" i="1"/>
  <c r="E8" i="1"/>
  <c r="D8" i="1"/>
  <c r="C8" i="1"/>
  <c r="H7" i="1"/>
  <c r="G7" i="1"/>
  <c r="E7" i="1"/>
  <c r="D7" i="1"/>
  <c r="C7" i="1"/>
  <c r="H6" i="1"/>
  <c r="G6" i="1"/>
  <c r="E6" i="1"/>
  <c r="D6" i="1"/>
  <c r="C6" i="1"/>
  <c r="H5" i="1"/>
  <c r="G5" i="1"/>
  <c r="E5" i="1"/>
  <c r="D5" i="1"/>
  <c r="C5" i="1"/>
  <c r="H4" i="1"/>
  <c r="G4" i="1"/>
  <c r="E4" i="1"/>
  <c r="D4" i="1"/>
  <c r="C4" i="1"/>
  <c r="H3" i="1"/>
  <c r="G3" i="1"/>
  <c r="E3" i="1"/>
  <c r="D3" i="1"/>
  <c r="C3" i="1"/>
  <c r="H2" i="1"/>
  <c r="G2" i="1"/>
  <c r="E2" i="1"/>
  <c r="D2" i="1"/>
  <c r="C2" i="1"/>
</calcChain>
</file>

<file path=xl/sharedStrings.xml><?xml version="1.0" encoding="utf-8"?>
<sst xmlns="http://schemas.openxmlformats.org/spreadsheetml/2006/main" count="754" uniqueCount="660">
  <si>
    <t>מק"ט/
חומר גלם</t>
  </si>
  <si>
    <t>שם פריט</t>
  </si>
  <si>
    <t>עלות</t>
  </si>
  <si>
    <t>מטבע</t>
  </si>
  <si>
    <t>תאריך רכישה אחרון</t>
  </si>
  <si>
    <t>כמות רכישות</t>
  </si>
  <si>
    <t>ספק</t>
  </si>
  <si>
    <t>מק" פנימי</t>
  </si>
  <si>
    <t>402000017</t>
  </si>
  <si>
    <t>MS122078, INSERT, HELICAL, 6-32 X 1D</t>
  </si>
  <si>
    <t>402000305</t>
  </si>
  <si>
    <t>MS124736, INSERT, HELICAL, 1/4-28 X 2D</t>
  </si>
  <si>
    <t>402260086/MA3279-154</t>
  </si>
  <si>
    <t xml:space="preserve"> Helicoil M4*1.5d -Free</t>
  </si>
  <si>
    <t>402000028</t>
  </si>
  <si>
    <t>MS122079, INSERT, HELICAL, 8-32 X 1D"</t>
  </si>
  <si>
    <t>RAF PN: 402260019</t>
  </si>
  <si>
    <t xml:space="preserve"> Helicoil M4*1d - DIN 8140, free - Strip</t>
  </si>
  <si>
    <t>402000202</t>
  </si>
  <si>
    <t>MS124695, INSERT, HELICAL, 10-32 X 1.5D</t>
  </si>
  <si>
    <t>402050012</t>
  </si>
  <si>
    <t>MS51830-201, Keensert 10-32 N/L</t>
  </si>
  <si>
    <t>RAF PN: 402050023</t>
  </si>
  <si>
    <t>MS51830-103, INSERT, KEY-LOCKED, 6-32 N/L</t>
  </si>
  <si>
    <t>402050182</t>
  </si>
  <si>
    <t>MS51830-206</t>
  </si>
  <si>
    <t>41002</t>
  </si>
  <si>
    <t>MS 122076</t>
  </si>
  <si>
    <t>402000501</t>
  </si>
  <si>
    <t>MS122095 - INSERT, HELICAL NON LOCK, 2-56 X 1D</t>
  </si>
  <si>
    <t>MA3279-204</t>
  </si>
  <si>
    <t xml:space="preserve"> Helicoil M4*2d - Free</t>
  </si>
  <si>
    <t>MA3279-206/1084-6CN-20</t>
  </si>
  <si>
    <t xml:space="preserve"> Helicoil M6*2d - Free</t>
  </si>
  <si>
    <t>402000084/402000051</t>
  </si>
  <si>
    <t>MS122119, INSERT, HELICAL, 8-32 X 1.5D</t>
  </si>
  <si>
    <t>402000039</t>
  </si>
  <si>
    <t>MS122116, INSERT, HELICAL, 4-40</t>
  </si>
  <si>
    <t>402250111</t>
  </si>
  <si>
    <t>MS21209C0215 INSERT, HELICAL, 2-56 X 1.5D</t>
  </si>
  <si>
    <t>MS21209C0415
INSERT, HELICAL, 4-40 X 1.5D</t>
  </si>
  <si>
    <t>402250096</t>
  </si>
  <si>
    <t>MS21209C0410
INSERT, HELICAL, 4-40 X 1D</t>
  </si>
  <si>
    <t>MS51830-201</t>
  </si>
  <si>
    <t>KEENSERT MS51830-201</t>
  </si>
  <si>
    <t>RAF PN: 402050056</t>
  </si>
  <si>
    <t>קינסרט MS51830-104  402050056</t>
  </si>
  <si>
    <t xml:space="preserve"> רפאל 402000006</t>
  </si>
  <si>
    <t>402030331/ 4020559192</t>
  </si>
  <si>
    <t>KNL1032J /MS51830-201L</t>
  </si>
  <si>
    <t>402050089</t>
  </si>
  <si>
    <t>קינסרט MS51830-203</t>
  </si>
  <si>
    <t>MS122076,  4-40 X 1D</t>
  </si>
  <si>
    <t>MS122076, INSERT, HELICAL, 4-40 X 1D Strip feed</t>
  </si>
  <si>
    <t>402250052</t>
  </si>
  <si>
    <t>MS21209CO810, INSERT, HELICAL</t>
  </si>
  <si>
    <t>RAF PN: 402050078</t>
  </si>
  <si>
    <t>אינסרט MS 51830-102</t>
  </si>
  <si>
    <t>LOCKTITE 601 50CC</t>
  </si>
  <si>
    <t>MS 21209CO420</t>
  </si>
  <si>
    <t>MA3279-102</t>
  </si>
  <si>
    <t xml:space="preserve"> Helicoil M3*1d - Free</t>
  </si>
  <si>
    <t>MS51830-104, INSERT,SCREW THREAD</t>
  </si>
  <si>
    <t>Helicoil M2.5*1d - Free /MA3279-101 Bollhoff</t>
  </si>
  <si>
    <t>M4*0.7 1D/MA3279-104</t>
  </si>
  <si>
    <t>MS21209C0410L</t>
  </si>
  <si>
    <t>MS21209F1-15, INSERT, HELICAL, 10-32 X 1.5D</t>
  </si>
  <si>
    <t>402000073</t>
  </si>
  <si>
    <t>MS122158</t>
  </si>
  <si>
    <t>MS51830-203/KN524J-76523, INSERT</t>
  </si>
  <si>
    <t>MS51830-202</t>
  </si>
  <si>
    <t>KEENSERT MS51830-202</t>
  </si>
  <si>
    <t>4184-6CNY090</t>
  </si>
  <si>
    <t>MS21209CO815
INSERT, HELICAL</t>
  </si>
  <si>
    <t xml:space="preserve"> רפאל  402000110</t>
  </si>
  <si>
    <t>MS124655, INSERT, HELICAL, 10-32 X 1D (STRIP)</t>
  </si>
  <si>
    <t xml:space="preserve"> רפאל  402050001</t>
  </si>
  <si>
    <t>MS51830-202, Keensert 1/4-28 N/L</t>
  </si>
  <si>
    <t>402000040</t>
  </si>
  <si>
    <t>MS122118, INSERT, HELICAL,   -32 X 1.5D בגליל</t>
  </si>
  <si>
    <t>MS16555-602 PIN</t>
  </si>
  <si>
    <t>מנדרל - מוט הברגה עם  מצמד 4-40 STANLY</t>
  </si>
  <si>
    <t>306001721</t>
  </si>
  <si>
    <t>MIL-P-11414E; Red Oxide Primer</t>
  </si>
  <si>
    <t>MA3279-152</t>
  </si>
  <si>
    <t>Helicoil M3*1.5d - Free</t>
  </si>
  <si>
    <t xml:space="preserve"> Helicoil M2*1d /MA3279-140/1084-2CN020</t>
  </si>
  <si>
    <t xml:space="preserve"> Helicoil M6*1d - Free</t>
  </si>
  <si>
    <t>MS21209CO0420L</t>
  </si>
  <si>
    <t>MS21209F4-15P/3591-4CNY375</t>
  </si>
  <si>
    <t>מנדרל - מוט הברגה עם  מצמד 2-56 STANLY</t>
  </si>
  <si>
    <t>402000121</t>
  </si>
  <si>
    <t>MS124656, INSERT, HELICAL, 1/4-28 X 1D</t>
  </si>
  <si>
    <t>402000213</t>
  </si>
  <si>
    <t>MS124696, INSERT, HELICAL, 1/4-28 X 1.5D</t>
  </si>
  <si>
    <t>402030331/4020563819</t>
  </si>
  <si>
    <t>MS51830-201L</t>
  </si>
  <si>
    <t>402040022</t>
  </si>
  <si>
    <t>MS51831-206</t>
  </si>
  <si>
    <t>402050126</t>
  </si>
  <si>
    <t>MS51830-108, INSERT KEY-LOCKED 3/8-16 N/L</t>
  </si>
  <si>
    <t>402250063</t>
  </si>
  <si>
    <t>MS21209C0615, INSERT, HELICAL, 6-32 X 1.5D</t>
  </si>
  <si>
    <t>41056</t>
  </si>
  <si>
    <t>MS122135, INSERT, HELICAL, 2-56 בגליל</t>
  </si>
  <si>
    <t>41076</t>
  </si>
  <si>
    <t>MS21209CO810L</t>
  </si>
  <si>
    <t>41118</t>
  </si>
  <si>
    <t>MS21209CO415L</t>
  </si>
  <si>
    <t>41204</t>
  </si>
  <si>
    <t>MS122161</t>
  </si>
  <si>
    <t>MA3279-156</t>
  </si>
  <si>
    <t>INSERT HCOIL CRES M6X1.5D TNM6X1C-9</t>
  </si>
  <si>
    <t>MS51830-102, INSERT, SCREW THREAD 10-32X.170</t>
  </si>
  <si>
    <t>M2*1.5d Lock</t>
  </si>
  <si>
    <t>M3*0.5-2.5D /MS3279-252</t>
  </si>
  <si>
    <t>MS21209C8-10, INSERT</t>
  </si>
  <si>
    <t>מנדרל - מוט הברגה עם  מצמד 6-32 STANLY</t>
  </si>
  <si>
    <t>402000372</t>
  </si>
  <si>
    <t>402040033</t>
  </si>
  <si>
    <t>MS51831-204 ACME</t>
  </si>
  <si>
    <t>402040136</t>
  </si>
  <si>
    <t>MS51831-104</t>
  </si>
  <si>
    <t>402100010</t>
  </si>
  <si>
    <t>MS51830-103L  /KNCL0632J /ALCOA</t>
  </si>
  <si>
    <t>402250074</t>
  </si>
  <si>
    <t>MS21209C0610, INSERT, HELICAL, 6-32 X 1D</t>
  </si>
  <si>
    <t>הליקיול MS122135</t>
  </si>
  <si>
    <t>41197</t>
  </si>
  <si>
    <t>MS122163, INSERT, HELICAL, 3/8-16 X 2D</t>
  </si>
  <si>
    <t>אינסרט M6*2d</t>
  </si>
  <si>
    <t>RAF PN: 407180965</t>
  </si>
  <si>
    <t>Screw Nas 1351-8-20P</t>
  </si>
  <si>
    <t xml:space="preserve"> Helicoil M3*1.5d - Lock 3329-152</t>
  </si>
  <si>
    <t>M4*0.7 1.5D/MA3279-154</t>
  </si>
  <si>
    <t>MS21209C0210 INSERT, HELICAL, 2-56 X 1D</t>
  </si>
  <si>
    <t>MS51830-202L, Keensert 1/4-28 S/L</t>
  </si>
  <si>
    <t>שובר לשונית M2</t>
  </si>
  <si>
    <t>הליקיול MS 122116</t>
  </si>
  <si>
    <t>402030711</t>
  </si>
  <si>
    <t>KNM6X1-M1 -75066 - CLM-61-SKS - 26352-66352</t>
  </si>
  <si>
    <t>MS51830-103L  /KNCL0632J</t>
  </si>
  <si>
    <t>4022536304</t>
  </si>
  <si>
    <t>MS21209F1-10L</t>
  </si>
  <si>
    <t>402260101</t>
  </si>
  <si>
    <t>insert helicoil M6*9 DIN 8140 AM6X9-A2</t>
  </si>
  <si>
    <t>407180035</t>
  </si>
  <si>
    <t>Screw NAS1351-3LB6P</t>
  </si>
  <si>
    <t>41079</t>
  </si>
  <si>
    <t>MS122121</t>
  </si>
  <si>
    <t>MA3279-155</t>
  </si>
  <si>
    <t>בגליל  M5*1.5d - Free</t>
  </si>
  <si>
    <t>RAF PN 410130043</t>
  </si>
  <si>
    <t>Washer Spring MS 35338-43</t>
  </si>
  <si>
    <t>RAF PN: 410130098</t>
  </si>
  <si>
    <t>Washer Spring MS35338-48</t>
  </si>
  <si>
    <t xml:space="preserve"> Helicoil M2.5*1.5d - Free/1084 2.5 CN 3.8</t>
  </si>
  <si>
    <t xml:space="preserve"> Helicoil M3*1.5d - Lock</t>
  </si>
  <si>
    <t xml:space="preserve"> Helicoil M5*1.5d - Lock</t>
  </si>
  <si>
    <t xml:space="preserve"> Helicoil M5*1d - Lock</t>
  </si>
  <si>
    <t>1084 2.5 CN 3.8</t>
  </si>
  <si>
    <t>Helicoil M2.5*1d - Free /MA3279-101</t>
  </si>
  <si>
    <t>Keensert KNHM10*1.5  [M16*1.5- 6H ]   76367</t>
  </si>
  <si>
    <t>LOCTITE 242</t>
  </si>
  <si>
    <t>M6*1 FR 2D  / 3279-206</t>
  </si>
  <si>
    <t>MA3279-151</t>
  </si>
  <si>
    <t>MS21209C0815L 
INSERT, HELICAL CRES S/L 8-32X1.5D</t>
  </si>
  <si>
    <t>MS21209-C6-15</t>
  </si>
  <si>
    <t>MS21209F4-10</t>
  </si>
  <si>
    <t>MS51830-102L</t>
  </si>
  <si>
    <t>MS51830-103L  /KNCL0632J /ACME</t>
  </si>
  <si>
    <t>שובר לשונית M3</t>
  </si>
  <si>
    <t xml:space="preserve"> 402000431</t>
  </si>
  <si>
    <t>MS122175</t>
  </si>
  <si>
    <t xml:space="preserve"> RAF PN: 402040044</t>
  </si>
  <si>
    <t>MS51831-201</t>
  </si>
  <si>
    <t>402040284</t>
  </si>
  <si>
    <t>Kinsert MS51832-206</t>
  </si>
  <si>
    <t>402050034</t>
  </si>
  <si>
    <t>MS51830-204, INSERT,SCREW THREAD</t>
  </si>
  <si>
    <t>402050115</t>
  </si>
  <si>
    <t>MS51830-107</t>
  </si>
  <si>
    <t>402250041</t>
  </si>
  <si>
    <t>MS21209F1-10, INSERT, HELICAL, 10-32 X 1D</t>
  </si>
  <si>
    <t>אינסרט MS 51830-102 402050078</t>
  </si>
  <si>
    <t>RAF PN: 404750475</t>
  </si>
  <si>
    <t>Pin DIA 3.0 M6*6mm steel</t>
  </si>
  <si>
    <t>Rafael PN - 402050012</t>
  </si>
  <si>
    <t>DIN8140M6 L-6/3279-106</t>
  </si>
  <si>
    <t>M2.5*0.45-1D /MA3279-101</t>
  </si>
  <si>
    <t>M3*0.5 1D/MA3279-102</t>
  </si>
  <si>
    <t>M3*2D FREE</t>
  </si>
  <si>
    <t>M8*0.5 1.5D/MA3279-159</t>
  </si>
  <si>
    <t>M8*1 1D /MA3279-108</t>
  </si>
  <si>
    <t>M8*1.25 1D/MA3279-109</t>
  </si>
  <si>
    <t>MS 21209CO620</t>
  </si>
  <si>
    <t>MS21209C0820, INSERT, HELICAL, 8-32 X 2D</t>
  </si>
  <si>
    <t>MS21209CO615L</t>
  </si>
  <si>
    <t>MS21209F1-15
 INSERT, HELICAL, 10-32</t>
  </si>
  <si>
    <t>MS21209F1-15L</t>
  </si>
  <si>
    <t>MS21209-F1-20L; INSERT, HELICAL, 10-32 X 2D</t>
  </si>
  <si>
    <t>MS21209F4-10 
 INSERT, HELICAL, 1/4-28 X 1D</t>
  </si>
  <si>
    <t>MS21209F5-10 
 INSERT, HELICAL, 5/16*24 1.D</t>
  </si>
  <si>
    <t>MS51830-103L</t>
  </si>
  <si>
    <t>חולץ M2/M3.5</t>
  </si>
  <si>
    <t>חולץ קשיח M11-16 NC/NF-1/2</t>
  </si>
  <si>
    <t>חולץ קשיח M4-10 NF/NC8-3/8</t>
  </si>
  <si>
    <t>חולץ קשיח NC2-NC6/M2-3.5</t>
  </si>
  <si>
    <t>כלי החדרה ידני מנואלה  NC8-32</t>
  </si>
  <si>
    <t>כלי החדרה ידני מנואלה 4-40</t>
  </si>
  <si>
    <t>כלי החדרה למכונה  כולל מצמד 4-40</t>
  </si>
  <si>
    <t>מנדרל - מוט הברגה עם  מצמד M4</t>
  </si>
  <si>
    <t>מנדרל החדרה 4-40 למכונה פנאומטית</t>
  </si>
  <si>
    <t>שובר לשונית  M6</t>
  </si>
  <si>
    <t>שובר לשונית M2 ו 2-56</t>
  </si>
  <si>
    <t xml:space="preserve">  402050001</t>
  </si>
  <si>
    <t>MS51830-202, Keensert 402050001</t>
  </si>
  <si>
    <t>קינסרט MS 51830-202 402050001</t>
  </si>
  <si>
    <t>318080428</t>
  </si>
  <si>
    <t>primer MIL-PRF-81733 TyI   A- 870A2</t>
  </si>
  <si>
    <t>402000224</t>
  </si>
  <si>
    <t>MS124697, INSERT, HELICAL, 5/16-24 X 1.5</t>
  </si>
  <si>
    <t>402000327</t>
  </si>
  <si>
    <t>MS124738, INSERT, HELICAL, 3/8-24 X 2D</t>
  </si>
  <si>
    <t>MS122135, INSERT, HELICAL, 2-56</t>
  </si>
  <si>
    <t>402040055</t>
  </si>
  <si>
    <t>MS51831-203</t>
  </si>
  <si>
    <t>קינסרט MS51830-203 402050089</t>
  </si>
  <si>
    <t>MA3329-102</t>
  </si>
  <si>
    <t xml:space="preserve"> Helicoil M3*1d - Lock</t>
  </si>
  <si>
    <t>MA3329-156</t>
  </si>
  <si>
    <t xml:space="preserve"> Helicoil M6*1.5d - Lock</t>
  </si>
  <si>
    <t>RAF PN: 407180024</t>
  </si>
  <si>
    <t>Screw NAS 1351-3LB5P</t>
  </si>
  <si>
    <t>4184-2CN030</t>
  </si>
  <si>
    <t>8140M5 L=5  3329-105  SELF LOCKING</t>
  </si>
  <si>
    <t>Helicoil M2*1.5d - Free /MA3279-190</t>
  </si>
  <si>
    <t>Keensert KNHM8*1.25</t>
  </si>
  <si>
    <t>KINSERT KN1032J</t>
  </si>
  <si>
    <t>LOCTITE 270</t>
  </si>
  <si>
    <t>M2*1.5d</t>
  </si>
  <si>
    <t>M3*0.5 -6H /MA3279-202</t>
  </si>
  <si>
    <t>M3*2D FREE 3279-202</t>
  </si>
  <si>
    <t>M6*1 1.5D/MA3279-156</t>
  </si>
  <si>
    <t>MS122085</t>
  </si>
  <si>
    <t>MS122159
INSERT, HELICAL, 8-32 X 2D</t>
  </si>
  <si>
    <t>MS124737</t>
  </si>
  <si>
    <t>MS21209-410, INSERT, HELICAL, 1/4-20 X 1D</t>
  </si>
  <si>
    <t>MS21209C0215</t>
  </si>
  <si>
    <t>MS21209C1-10</t>
  </si>
  <si>
    <t>MS21209C5-15</t>
  </si>
  <si>
    <t>MS21209CO215L</t>
  </si>
  <si>
    <t>MS21209CO610L</t>
  </si>
  <si>
    <t>MS21209CO620P</t>
  </si>
  <si>
    <t>MS21209F1-15
 INSERT, HELICAL, 1/4-28 X 1D</t>
  </si>
  <si>
    <t>MS21209F4-15 
 INSERT, HELICAL, 1/4-28 X 1.5D</t>
  </si>
  <si>
    <t>MS21209F5-10 
 INSERT, HELICAL, 1/4-28 X 1.5D</t>
  </si>
  <si>
    <t>MS21209F5-15 INSERT 182EA JT8D ALL &amp; 2XX</t>
  </si>
  <si>
    <t>MS21209F6-15, INSERT, HELICAL, 3/8-24 X 1.5</t>
  </si>
  <si>
    <t>MS51830-202L</t>
  </si>
  <si>
    <t>MS51831-204L</t>
  </si>
  <si>
    <t>חדר מכווץ לראש החדרה 4-40</t>
  </si>
  <si>
    <t>חדר מכווץ לראש החדרה סרט</t>
  </si>
  <si>
    <t>כלי החדרה NC2-56</t>
  </si>
  <si>
    <t>כלי החדרה ידני מנואלה NC6-32</t>
  </si>
  <si>
    <t>כלי החדרה מנואלה NC1/4</t>
  </si>
  <si>
    <t>כלי החדרה מנואלה NF1/4</t>
  </si>
  <si>
    <t>כלי החדרה מנואלה NF10-32</t>
  </si>
  <si>
    <t>מברגה מתקפלת MAKITA DF012D 7.2V</t>
  </si>
  <si>
    <t>מוט הברגה עם מצמד</t>
  </si>
  <si>
    <t>מנדרל  למברגה ידנית  10-32</t>
  </si>
  <si>
    <t>מנדרל 1/4-20</t>
  </si>
  <si>
    <t>מנדרל M4</t>
  </si>
  <si>
    <t>מנדרל למברגה NC4-40</t>
  </si>
  <si>
    <t>מנדרל למברגה NC8-32</t>
  </si>
  <si>
    <t>מנדרל למברגה NF10-32</t>
  </si>
  <si>
    <t>מנדרל למברגה ידנית 3/8-16</t>
  </si>
  <si>
    <t>מנדרל למברגהNC2-56</t>
  </si>
  <si>
    <t>מנדרל למכונה פנאומטית  8-32</t>
  </si>
  <si>
    <t>ראש החדרה למכונה 2/56</t>
  </si>
  <si>
    <t>שובר לשונית M2.5</t>
  </si>
  <si>
    <t>שובר לשונית M4</t>
  </si>
  <si>
    <t>שובר לשונית M5</t>
  </si>
  <si>
    <t>תעודת כיול</t>
  </si>
  <si>
    <t>קינסרט MS 51830-202</t>
  </si>
  <si>
    <t xml:space="preserve"> Raf PN: 402030548</t>
  </si>
  <si>
    <t>MS 51830-104L/KNCAL0832J  נעילה 8-32</t>
  </si>
  <si>
    <t>40200022</t>
  </si>
  <si>
    <t>402000556</t>
  </si>
  <si>
    <t>MS122083, INSERT, HELICAL, 3/8-16 X 1D</t>
  </si>
  <si>
    <t>402000567</t>
  </si>
  <si>
    <t>MS122123, INSERT, HELICAL, 3/8-16 X 1.5</t>
  </si>
  <si>
    <t>MS51831-203 SCREW-THREAD, FREE RUN</t>
  </si>
  <si>
    <t>402040099</t>
  </si>
  <si>
    <t>MS51832-204  INSERT, KEY-LOCKED, 3/8-24</t>
  </si>
  <si>
    <t>MS51830-201, INSERT KEY-LOCKED 10-32 N/L</t>
  </si>
  <si>
    <t>402050067</t>
  </si>
  <si>
    <t>MS51830-101, INSERT, KEY-LOCKED, 2-56</t>
  </si>
  <si>
    <t>4020559192</t>
  </si>
  <si>
    <t>402100032</t>
  </si>
  <si>
    <t>KNCM 4*0.7</t>
  </si>
  <si>
    <t>MS 21209 CO215</t>
  </si>
  <si>
    <t>402260123</t>
  </si>
  <si>
    <t>M10*1.5 1.5D DIN8140</t>
  </si>
  <si>
    <t>402260189</t>
  </si>
  <si>
    <t xml:space="preserve"> Helicoil M8*1.25*1d - Free 3279-109</t>
  </si>
  <si>
    <t>404750796</t>
  </si>
  <si>
    <t>PIN M6 6.0*8MM DIN 7 PARALLEL RAFAEL</t>
  </si>
  <si>
    <t>4047536302</t>
  </si>
  <si>
    <t>PIN PARALLEL ISO 2388 DIA 6M6X8 MM SS</t>
  </si>
  <si>
    <t>404771131</t>
  </si>
  <si>
    <t>PIN Parallel  Iso 8734 3.0 m 6x6 mm sst</t>
  </si>
  <si>
    <t>41037</t>
  </si>
  <si>
    <t>MS122160</t>
  </si>
  <si>
    <t>MS21209CO810</t>
  </si>
  <si>
    <t>41096</t>
  </si>
  <si>
    <t>הליקיול M4*1d</t>
  </si>
  <si>
    <t>41145</t>
  </si>
  <si>
    <t>MS122080</t>
  </si>
  <si>
    <t>41228</t>
  </si>
  <si>
    <t>MS122122</t>
  </si>
  <si>
    <t>72569</t>
  </si>
  <si>
    <t>כלי החדרה לקינסרט MS51830-201</t>
  </si>
  <si>
    <t>76355</t>
  </si>
  <si>
    <t>KNM10X1.5 / M14 07660-110 CLM-1015-SKS</t>
  </si>
  <si>
    <t>MA3279-122/402260248</t>
  </si>
  <si>
    <t xml:space="preserve"> Helicoil M20*1.5*1d - Free</t>
  </si>
  <si>
    <t xml:space="preserve"> Helicoil M5*1.5d - Free</t>
  </si>
  <si>
    <t>MANM2.5</t>
  </si>
  <si>
    <t>מנדרל M2.5</t>
  </si>
  <si>
    <t>MANNC2-56</t>
  </si>
  <si>
    <t>מנדרל 2-56</t>
  </si>
  <si>
    <t>PRENC2-56</t>
  </si>
  <si>
    <t>חדר מכווץ [מתאם ] 2-56</t>
  </si>
  <si>
    <t>PRENF10-32</t>
  </si>
  <si>
    <t>חדר מכווץ [מתאם] ל10-32</t>
  </si>
  <si>
    <t>Screw NAS 1351-3LB</t>
  </si>
  <si>
    <t xml:space="preserve"> Helicoil M4*1.5d - Lock</t>
  </si>
  <si>
    <t xml:space="preserve"> Helicoil M5*2d - Free</t>
  </si>
  <si>
    <t xml:space="preserve"> Helicoil M6*1d - Lock</t>
  </si>
  <si>
    <t xml:space="preserve"> Helicoil M8*1.25*1d - Free</t>
  </si>
  <si>
    <t xml:space="preserve"> INSERT M5*0.8 L=12.5</t>
  </si>
  <si>
    <t xml:space="preserve"> INSERT M6*1.5 L=15</t>
  </si>
  <si>
    <t xml:space="preserve"> INSERT M8*1.25 L=16</t>
  </si>
  <si>
    <t xml:space="preserve"> KINSERT KN1032J</t>
  </si>
  <si>
    <t>1185-02CW086</t>
  </si>
  <si>
    <t>2TNM3*0.5C-3</t>
  </si>
  <si>
    <t>4184-4CN060/3329-154</t>
  </si>
  <si>
    <t>5/8-18 UNF -2B *1D LOCK MS21209F1010</t>
  </si>
  <si>
    <t>AC-735 CLASS B-1/2 -3M</t>
  </si>
  <si>
    <t>CL-3816-KS</t>
  </si>
  <si>
    <t>CL-91612-KS </t>
  </si>
  <si>
    <t>CLM-61-KSM</t>
  </si>
  <si>
    <t>HELI COIL FR M10X1.5 ,1.5D , DIN8140 A2</t>
  </si>
  <si>
    <t>Helicoil M2*1.5d - Free</t>
  </si>
  <si>
    <t>INSERT HC COARES MS21209C1-15L</t>
  </si>
  <si>
    <t>INSERT HCOIL M4X1</t>
  </si>
  <si>
    <t>INSERT LN9499-02060</t>
  </si>
  <si>
    <t>INSERT M10*1.5 2D</t>
  </si>
  <si>
    <t>KEENSERT 10-32 UNF 0.31IN ST   NAS 1395C3L  /MS51831-201L  </t>
  </si>
  <si>
    <t>Keensert KNHM16*2</t>
  </si>
  <si>
    <t>Keensert KNHM6*1</t>
  </si>
  <si>
    <t>Keensert M4X0.7 H=8mm KNHM4X0.7</t>
  </si>
  <si>
    <t>kit for riv938/912 m12 kit for riv938k-kn[ms51830-110/206]</t>
  </si>
  <si>
    <t>kit for riv938/912 -m3</t>
  </si>
  <si>
    <t>kit for riv938/912 -M4</t>
  </si>
  <si>
    <t>kit for riv938/912 -M5</t>
  </si>
  <si>
    <t>kit for riv938/912 -M6</t>
  </si>
  <si>
    <t>kit for riv938/912 -M8</t>
  </si>
  <si>
    <t>KNCA0832J</t>
  </si>
  <si>
    <t>KNCAL0440J</t>
  </si>
  <si>
    <t>KNCM4X0.7</t>
  </si>
  <si>
    <t>KNHL820J / MS51831-206L</t>
  </si>
  <si>
    <t>KNHM8X1.0 76566</t>
  </si>
  <si>
    <t>KNL616J S-MS51830-108L</t>
  </si>
  <si>
    <t>LOCKTITE 238</t>
  </si>
  <si>
    <t>LOCTITE 241 OR 242</t>
  </si>
  <si>
    <t>LOCTITE 567</t>
  </si>
  <si>
    <t>LOCTITE 609 50ML</t>
  </si>
  <si>
    <t>LOCTITE 635</t>
  </si>
  <si>
    <t>M10*1.25 2D / 3279-210</t>
  </si>
  <si>
    <t>M2*0.45 1D</t>
  </si>
  <si>
    <t>M2*1D TANGLESS</t>
  </si>
  <si>
    <t>M2.5*0.45 1.5D /3279-151</t>
  </si>
  <si>
    <t>M2.5*0.45 1.5D /3329-151</t>
  </si>
  <si>
    <t>M2.5*1.5d  Lock</t>
  </si>
  <si>
    <t>M3 L=3mm SELF LOCKING</t>
  </si>
  <si>
    <t>M3*0.5 1.5D/3279-152</t>
  </si>
  <si>
    <t>M3*1D LOCK</t>
  </si>
  <si>
    <t>M3X4.5S</t>
  </si>
  <si>
    <t>M3X6S</t>
  </si>
  <si>
    <t>M4  L=4mm SELF LOCKING</t>
  </si>
  <si>
    <t>M4  L=6 SELF LOCKING</t>
  </si>
  <si>
    <t>M5 L=5 SELF LOCKING</t>
  </si>
  <si>
    <t>M5*0.8 1D  FREE  MA3279-105</t>
  </si>
  <si>
    <t>M5*1D</t>
  </si>
  <si>
    <t>M6 L=9 SELF LOCKING</t>
  </si>
  <si>
    <t>M6 X 1D Self Locking -MA3329-106</t>
  </si>
  <si>
    <t>M6*2.5D</t>
  </si>
  <si>
    <t>M6-1.5D SL 8140M6L-9  /3329-156</t>
  </si>
  <si>
    <t>M8  L=8 SELF LOCKING</t>
  </si>
  <si>
    <t>M8*0.5 1D/MA3279-109</t>
  </si>
  <si>
    <t>M8*1.0 2D / 3279-208</t>
  </si>
  <si>
    <t>M8*1.25 1.5D /3329-159</t>
  </si>
  <si>
    <t>M8*1.25 1.5D/MA3279-159</t>
  </si>
  <si>
    <t>M8*1.25 2D</t>
  </si>
  <si>
    <t>M8*1.25 2d MA3279-209  Tangled</t>
  </si>
  <si>
    <t>MA3329-202/NA0276M3-20</t>
  </si>
  <si>
    <t>MS 21209CO220  2 -56X2D</t>
  </si>
  <si>
    <t>MS 21209CO220 [3585-02CN0172]</t>
  </si>
  <si>
    <t>MS 51830-104L/KNCAL0832J</t>
  </si>
  <si>
    <t>MS 51831-108</t>
  </si>
  <si>
    <t>MS 51831-108 /KNH1011J/217-076308</t>
  </si>
  <si>
    <t>MS122088</t>
  </si>
  <si>
    <t>MS122124</t>
  </si>
  <si>
    <t>MS124742</t>
  </si>
  <si>
    <t>MS124775</t>
  </si>
  <si>
    <t>MS21209 C4-15</t>
  </si>
  <si>
    <t>MS21209C0410</t>
  </si>
  <si>
    <t>MS21209C0415P</t>
  </si>
  <si>
    <t>MS21209C4-10 </t>
  </si>
  <si>
    <t>MS21209C6-20 / 3/8-16</t>
  </si>
  <si>
    <t>MS21209C815
INSERT, HELICAL, 1/2-13 X 1.5</t>
  </si>
  <si>
    <t>MS21209CO610P</t>
  </si>
  <si>
    <t>MS21209CO615L BULLHOFF</t>
  </si>
  <si>
    <t>MS21209CO820L</t>
  </si>
  <si>
    <t>MS21209-F1-20; INSERT, HELICAL, 10-32 X 2D</t>
  </si>
  <si>
    <t>MS21209F410 
 INSERT, HELICAL, 1/4-28 X 1D</t>
  </si>
  <si>
    <t>MS21209F4-10L</t>
  </si>
  <si>
    <t>MS21209F4-15 
 INSERT,650יח, 1/4-28 X 1.5D</t>
  </si>
  <si>
    <t>MS21209F4-15P</t>
  </si>
  <si>
    <t>MS21209F4-20</t>
  </si>
  <si>
    <t>MS21209F5-15P</t>
  </si>
  <si>
    <t>MS21209F6-15</t>
  </si>
  <si>
    <t>MS51830-101L
	INSERT, KEY-LOCKED, 2-56</t>
  </si>
  <si>
    <t>MS51830-105L</t>
  </si>
  <si>
    <t>MS51831-103L</t>
  </si>
  <si>
    <t>MS51832-108</t>
  </si>
  <si>
    <t>PIN MS16555-625</t>
  </si>
  <si>
    <t>PIN MS9390-170</t>
  </si>
  <si>
    <t>Socket head cap screw 12.9 UNI 5931/DIN 912 M6x55</t>
  </si>
  <si>
    <t>Socket head cap screw 12.9 UNI 5931/DIN 912 M8x60</t>
  </si>
  <si>
    <t>Socket head cap screw 12.9 UNI 5931/DIN912 M4x55</t>
  </si>
  <si>
    <t>Socket head cap screw 12.9 UNI 5931/DIN912 M5x55</t>
  </si>
  <si>
    <t>Socket head cap screw 12.9 UNI5931/DIN912 M3x40</t>
  </si>
  <si>
    <t>SOCKET HEAD CAP SCREWS SCH-NF1/4X2-12.9</t>
  </si>
  <si>
    <t>חדר מכווץ לראש החדרה 8-32</t>
  </si>
  <si>
    <t>חדר מכווץ לראש החדרה סרט 2-56</t>
  </si>
  <si>
    <t>חולץ 11-16</t>
  </si>
  <si>
    <t>חולץ M18/22</t>
  </si>
  <si>
    <t>חולץ M4/10</t>
  </si>
  <si>
    <t>כלי החדרה ידני  M16</t>
  </si>
  <si>
    <t>כלי החדרה ידני ל M2</t>
  </si>
  <si>
    <t>כלי החדרה ידני מנואלה M2</t>
  </si>
  <si>
    <t>כלי החדרה להליקיול M10*1.25</t>
  </si>
  <si>
    <t>כלי החדרה למכונה 10-32 כולל מצמד</t>
  </si>
  <si>
    <t>כלי החדרה למכונה פנאומטית 4-40 ללא מצמד</t>
  </si>
  <si>
    <t>כלי החדרה למכונה פנאומטית 6-32 ללא מצמד</t>
  </si>
  <si>
    <t>כלי החדרה למכונה פנאומטית 8-32 ללא מצמד</t>
  </si>
  <si>
    <t>כלי החדרה למכונה פנאומטית M2.5 ללא מצמד</t>
  </si>
  <si>
    <t>כלי החדרה למכונה פנאומטית M3 ללא מצמד</t>
  </si>
  <si>
    <t>כלי החדרה למכונה פנאומטית M4 ללא מצמד</t>
  </si>
  <si>
    <t>כלי החדרה לקינסרט 402080060  82941</t>
  </si>
  <si>
    <t>כלי החדרה לקינסרטים</t>
  </si>
  <si>
    <t>כלי החדרה לקינסרטים 51830-202</t>
  </si>
  <si>
    <t>כלי החדרה לקינסרטים עבור 51830-201</t>
  </si>
  <si>
    <t>כלי החדרה לקינסרטים עבור 51830-202/106</t>
  </si>
  <si>
    <t>כלי החדרה לקשיח  M3</t>
  </si>
  <si>
    <t>כלי החדרת אינסרטים למכונה</t>
  </si>
  <si>
    <t>מברגת עפרון 7.2 V</t>
  </si>
  <si>
    <t>מדיד GO/NO GO B3 לקינסרט תבריג פנימי  1/4-28</t>
  </si>
  <si>
    <t>מדיד GO/NO GO B3 לקינסרט תבריג פנימי  10-32</t>
  </si>
  <si>
    <t>מדיד GO/NO GO B3 לקינסרט תבריג פנימי 1/4-20</t>
  </si>
  <si>
    <t>מדיד GO/NO GO B3 לקינסרט תבריג פנימי 10-24</t>
  </si>
  <si>
    <t>מדיד GO/NO GO B3 לקינסרט תבריג פנימי 4-40</t>
  </si>
  <si>
    <t>מדיד GO/NO GO B3 לקינסרט תבריג פנימי 6-32</t>
  </si>
  <si>
    <t>מדיד GO/NO GO B3 לקינסרט תבריג פנימי 8-32</t>
  </si>
  <si>
    <t>מוט הברגה מנדרל M6</t>
  </si>
  <si>
    <t>מחדש תבריג    1/4-28</t>
  </si>
  <si>
    <t>מחדש תבריג 10/32</t>
  </si>
  <si>
    <t>מחדש תבריג 5/16-24</t>
  </si>
  <si>
    <t>מנדרל - מוט הברגה עם  מצמד 2-56</t>
  </si>
  <si>
    <t>מנדרל    10-32</t>
  </si>
  <si>
    <t>מנדרל M3*0.5  למכונה</t>
  </si>
  <si>
    <t>מנדרל M5</t>
  </si>
  <si>
    <t>מנדרל ידני  UNF 6-40</t>
  </si>
  <si>
    <t>מנדרל למברגה ידנית 5/16-18</t>
  </si>
  <si>
    <t>מנדרל למברגה ידנית 6-32</t>
  </si>
  <si>
    <t>מנדרל למברגה ידנית M6</t>
  </si>
  <si>
    <t>מנדרל למברגה ידנית NC6-32</t>
  </si>
  <si>
    <t>מנדרל למכונה - מוט הברגה עם  מצמד 4-40</t>
  </si>
  <si>
    <t>מנדרל למכונה  - מוט הברגה עם  מצמד M2.5</t>
  </si>
  <si>
    <t>מנדרל למכונת החדרה 1/4-28</t>
  </si>
  <si>
    <t>מתאם למנדרל בולוהוף</t>
  </si>
  <si>
    <t>נוקר לשובר לשונית M2</t>
  </si>
  <si>
    <t>קינסרט KNM8*1.25</t>
  </si>
  <si>
    <t>ראש החדרה למכונה פנאומטית 51830-108</t>
  </si>
  <si>
    <t>ראש החדרה למכונה פנאומטית 51830-201/105</t>
  </si>
  <si>
    <t>ראש החדרה למכונה פנאומטית 51830-202</t>
  </si>
  <si>
    <t>ראש החדרה למכונה פנאומטית 51830-203/למצ8</t>
  </si>
  <si>
    <t>ראש החדרה למכונה פנאומטית NF10-32 FLAT</t>
  </si>
  <si>
    <t>שובר לשונית M3 /6-32/4-40</t>
  </si>
  <si>
    <t>Keensert MS 51830-104L, KNCAL0832J  נעילה 8-32</t>
  </si>
  <si>
    <t>MS122076 – INSERT, HELICAL, 4-40 X 1D</t>
  </si>
  <si>
    <t>0160370082</t>
  </si>
  <si>
    <t>מכשיר פנאומטי להחדרת הליקיולים</t>
  </si>
  <si>
    <t>primer MIL-PRF-81733 Ty I  CL I A- 870A2</t>
  </si>
  <si>
    <t>3180836311</t>
  </si>
  <si>
    <t>AC-735 CLASS B-2 /3M</t>
  </si>
  <si>
    <t>3260640115</t>
  </si>
  <si>
    <t>TEF GEL  TG-16   16 oz JAR</t>
  </si>
  <si>
    <t>TEF GEL 30 gr</t>
  </si>
  <si>
    <t>400029932</t>
  </si>
  <si>
    <t>KNML8*1.25</t>
  </si>
  <si>
    <t>402000006</t>
  </si>
  <si>
    <t>1400 יח   MS122158</t>
  </si>
  <si>
    <t>402000143</t>
  </si>
  <si>
    <t>MS124658,INSERT, HELICAL, 3/8-24 X 1D</t>
  </si>
  <si>
    <t>MS124695, INSERT, HELICOIL, 10-32 X 1.5D BOLLHOFF</t>
  </si>
  <si>
    <t>402000235</t>
  </si>
  <si>
    <t>MS124698, INSERT, HELICAL, 3/8-24 X 1.5</t>
  </si>
  <si>
    <t>402000899</t>
  </si>
  <si>
    <t>MS124695 Special</t>
  </si>
  <si>
    <t>402030010</t>
  </si>
  <si>
    <t>3/8 -16UNC-2B/KN-428J</t>
  </si>
  <si>
    <t>402030054</t>
  </si>
  <si>
    <t>KNC0632J /MS51830-103</t>
  </si>
  <si>
    <t>KNC0632J /MS51930-103</t>
  </si>
  <si>
    <t>402030076</t>
  </si>
  <si>
    <t xml:space="preserve"> KN1032J /MS51830-201</t>
  </si>
  <si>
    <t>402030238</t>
  </si>
  <si>
    <t>KNM6X1</t>
  </si>
  <si>
    <t>KNM6X1-M10</t>
  </si>
  <si>
    <t>402030722</t>
  </si>
  <si>
    <t>KNM8*1.25 -CLM-8125-SKS 07660-108 76353</t>
  </si>
  <si>
    <t>KNM8*1.25 NON LOCKING CRES 303 
PASSIVATED</t>
  </si>
  <si>
    <t>NSERT LIGHTWEIGHT M8X1.25, OUTER THREAD M12X1.25, L</t>
  </si>
  <si>
    <t>402030803</t>
  </si>
  <si>
    <t>KNML6*1  402030803</t>
  </si>
  <si>
    <t>402030825</t>
  </si>
  <si>
    <t>KNM12*1.75</t>
  </si>
  <si>
    <t>KNM12*1.75  ALCOA</t>
  </si>
  <si>
    <t>KNM12*1.75-Ext: M16X1.5 STST ALCOA</t>
  </si>
  <si>
    <t>402030847</t>
  </si>
  <si>
    <t>Keensert KNHM12*1.75</t>
  </si>
  <si>
    <t>402040000</t>
  </si>
  <si>
    <t>MS51831-202</t>
  </si>
  <si>
    <t>MS51831-202/. KNH428J</t>
  </si>
  <si>
    <t>402040011</t>
  </si>
  <si>
    <t>MS51831-208</t>
  </si>
  <si>
    <t>MS51831-204</t>
  </si>
  <si>
    <t>402040055 / 402040066</t>
  </si>
  <si>
    <t>402040114</t>
  </si>
  <si>
    <t>MS51832-206, INSERT, KEY-LOCKED, 1/2-20</t>
  </si>
  <si>
    <t>4020464729</t>
  </si>
  <si>
    <t>MS51831-102L</t>
  </si>
  <si>
    <t>4020464738</t>
  </si>
  <si>
    <t>KNHL428J/MS51831-202L</t>
  </si>
  <si>
    <t>402050001</t>
  </si>
  <si>
    <t>KN428J MS51830-202 /CL‐1428‐TSKS</t>
  </si>
  <si>
    <t>MS51830-203, INSERT KEY-LOCKED 5/16-24 N/L</t>
  </si>
  <si>
    <t>402050090</t>
  </si>
  <si>
    <t>MS51830-105</t>
  </si>
  <si>
    <t>4020563819</t>
  </si>
  <si>
    <t>4020564422/402100010</t>
  </si>
  <si>
    <t>402080060</t>
  </si>
  <si>
    <t>KNKDD1032J</t>
  </si>
  <si>
    <t>4021036302</t>
  </si>
  <si>
    <t>MA3279-206 /TNM6*1C-12</t>
  </si>
  <si>
    <t>4021136347</t>
  </si>
  <si>
    <t>NC1/4-20*0.312-UB001420-300-SP</t>
  </si>
  <si>
    <t>4021186488</t>
  </si>
  <si>
    <t>M4X0.7-1D 1084-4CNW040S  SS 304 dry lube</t>
  </si>
  <si>
    <t>402260053</t>
  </si>
  <si>
    <t>MA3279-111</t>
  </si>
  <si>
    <t xml:space="preserve"> Helicoil M4*1.5d -Free 1500יח</t>
  </si>
  <si>
    <t xml:space="preserve"> Helicoil M4*1.5d -Free BOLHOFF</t>
  </si>
  <si>
    <t>402260134</t>
  </si>
  <si>
    <t>DIN 8140-AM12 X18 -A2</t>
  </si>
  <si>
    <t>4022641281</t>
  </si>
  <si>
    <t>2TNM2.5*0.45C-2.5</t>
  </si>
  <si>
    <t>PIN M6 6*8 mm DIN 7 PARALLEL</t>
  </si>
  <si>
    <t>4047581279</t>
  </si>
  <si>
    <t>Pin parallel ISO2338 dia 4.0M6X10MM SS</t>
  </si>
  <si>
    <t>404770640</t>
  </si>
  <si>
    <t>PIN ISO 8734- 2.0M6 X 6.0 MM, AISI 420, 52-57HRC OR WST-NR. 14034 OR X46C-13</t>
  </si>
  <si>
    <t>41063</t>
  </si>
  <si>
    <t>MS122156 INSERT,HELICAL, 4-40 X 2D</t>
  </si>
  <si>
    <t>41091</t>
  </si>
  <si>
    <t>MS122087, INSERT, HELICAL, 5/8-11 X 1D</t>
  </si>
  <si>
    <t xml:space="preserve"> Helicoil M4*1.5d</t>
  </si>
  <si>
    <t>41120</t>
  </si>
  <si>
    <t>הליקיול MS 124657</t>
  </si>
  <si>
    <t>41124</t>
  </si>
  <si>
    <t>MS122127</t>
  </si>
  <si>
    <t>41140</t>
  </si>
  <si>
    <t xml:space="preserve"> Helicoil M8*1.25*1d -</t>
  </si>
  <si>
    <t>MS122080 H.C 10-24UNC FR</t>
  </si>
  <si>
    <t>41210</t>
  </si>
  <si>
    <t>MS122082 0.312-18 UNC X 0.312 INCH CRES 1X</t>
  </si>
  <si>
    <t>41214</t>
  </si>
  <si>
    <t>MS122128, INSERT, HELICAL, 3/4-10 X 1.5d</t>
  </si>
  <si>
    <t>427094-17</t>
  </si>
  <si>
    <t>SEAL PLUG</t>
  </si>
  <si>
    <t>427094-9</t>
  </si>
  <si>
    <t>SEALING ARRANGEMENT</t>
  </si>
  <si>
    <t>5529000</t>
  </si>
  <si>
    <t>M6*60 SOKET HEAD CAP SCREW TIE ROD</t>
  </si>
  <si>
    <t>66352</t>
  </si>
  <si>
    <t>KEENSERT 215-066352 KNM6.0X1 75066 CLM-61-SKS 26352 76352
215-066352</t>
  </si>
  <si>
    <t>72554</t>
  </si>
  <si>
    <t>כלי החדרה לקינסרט MS51830-102</t>
  </si>
  <si>
    <t>72556</t>
  </si>
  <si>
    <t>כלי החדרה לקינסרט MS51830-103</t>
  </si>
  <si>
    <t>72558</t>
  </si>
  <si>
    <t>כלי החדרה לקינסרט MS51830-104</t>
  </si>
  <si>
    <t>72571</t>
  </si>
  <si>
    <t>כלי להחדרת קינסרט MS51830-202</t>
  </si>
  <si>
    <t>I-RIV939P8</t>
  </si>
  <si>
    <t>מכשיר פנאומטי להחדרת קינסרטים</t>
  </si>
  <si>
    <t>M3X3S</t>
  </si>
  <si>
    <t>MA3279-105</t>
  </si>
  <si>
    <t xml:space="preserve"> Helicoil M5*1d - Free -</t>
  </si>
  <si>
    <t xml:space="preserve"> Helicoil M20*1.5*1d - Free DIN8140</t>
  </si>
  <si>
    <t>M3X3SW-1084-3  CNW030</t>
  </si>
  <si>
    <t>MA3279-164</t>
  </si>
  <si>
    <t xml:space="preserve"> Helicoil M12*1.75*1.5d - Free</t>
  </si>
  <si>
    <t>אינסרט M6*2d גליל 550 יח</t>
  </si>
  <si>
    <t>אינסרט M6*2d תפזורת</t>
  </si>
  <si>
    <t>MA3329-158</t>
  </si>
  <si>
    <t>M8*1 [L-12]  THREAD  LOCKING</t>
  </si>
  <si>
    <t>M8*1 FINE Thread 1.5D</t>
  </si>
  <si>
    <t>MA3329-159</t>
  </si>
  <si>
    <t>MANM6</t>
  </si>
  <si>
    <t>מנדרל M6 בולהוף</t>
  </si>
  <si>
    <t>MANNC1/4</t>
  </si>
  <si>
    <t>מנדרל ל NC1/4</t>
  </si>
  <si>
    <t>MANNC10-24CL-B</t>
  </si>
  <si>
    <t>מנדרל ל NC10-24</t>
  </si>
  <si>
    <t>MANNF10-23CL-B</t>
  </si>
  <si>
    <t>מנדרל ל NF10-32</t>
  </si>
  <si>
    <t>MS51830-102</t>
  </si>
  <si>
    <t>PREM2.5*1.25SF-B</t>
  </si>
  <si>
    <t>חדר מכווץ [מתאם] ל 1D בולהוף</t>
  </si>
  <si>
    <t>PREM6*1.25SF-B</t>
  </si>
  <si>
    <t>חדר מכווץ [מתאם] ל1D M6</t>
  </si>
  <si>
    <t>PRENC1/4SF-B</t>
  </si>
  <si>
    <t>חדר מכווץ [מתאם] ל NC1/4</t>
  </si>
  <si>
    <t>PRENC10-24SF-B</t>
  </si>
  <si>
    <t>חדר מכווץ [מתאם ] ל 10-24</t>
  </si>
  <si>
    <t>PRENC6-32SF</t>
  </si>
  <si>
    <t>חדר מכווץ לראש החדרה 6-32</t>
  </si>
  <si>
    <t>RAF PN: 402000110</t>
  </si>
  <si>
    <t>RAF PN: 4020559192</t>
  </si>
  <si>
    <t>KNL1032J/MS51830-201L</t>
  </si>
  <si>
    <t>M4*1d</t>
  </si>
  <si>
    <t>RAF PN: 410150056</t>
  </si>
  <si>
    <t>Washer Flat NAS MS 620-10</t>
  </si>
  <si>
    <t>RAFAEL  45-0681-00</t>
  </si>
  <si>
    <t>KNC 0632JT / MS51830CA103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</si>
</sst>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14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1511;&#1513;&#1497;&#1495;&#1497;&#1501;.xlsx" TargetMode="External"/><Relationship Id="rId2" Type="http://schemas.openxmlformats.org/officeDocument/2006/relationships/externalLinkPath" Target="file:///C:\Users\yelena\Desktop\&#1511;&#1513;&#1497;&#1495;&#1497;&#1501;.xlsx" TargetMode="External"/><Relationship Id="rId1" Type="http://schemas.openxmlformats.org/officeDocument/2006/relationships/externalLinkPath" Target="/Users/yelena/Desktop/&#1511;&#1513;&#1497;&#1495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Sheet1"/>
      <sheetName val="Sheet3"/>
    </sheetNames>
    <sheetDataSet>
      <sheetData sheetId="0"/>
      <sheetData sheetId="1">
        <row r="1">
          <cell r="B1" t="str">
            <v>שם פריט</v>
          </cell>
          <cell r="C1" t="str">
            <v>מספר
רכש</v>
          </cell>
          <cell r="D1" t="str">
            <v>מספר
שורה</v>
          </cell>
          <cell r="E1" t="str">
            <v>סוג
רכש</v>
          </cell>
          <cell r="F1" t="str">
            <v>מספר פריט</v>
          </cell>
          <cell r="G1" t="str">
            <v>תאריך
פתיחה</v>
          </cell>
          <cell r="H1" t="str">
            <v>תאור</v>
          </cell>
          <cell r="I1" t="str">
            <v>שם ספק</v>
          </cell>
          <cell r="J1" t="str">
            <v>עלות
יחידה</v>
          </cell>
          <cell r="K1" t="str">
            <v>מטבע</v>
          </cell>
          <cell r="L1" t="str">
            <v>כמות
נדרשת</v>
          </cell>
          <cell r="M1" t="str">
            <v>יחידת
מידה</v>
          </cell>
          <cell r="N1" t="str">
            <v>סה''כ עלות</v>
          </cell>
        </row>
        <row r="2">
          <cell r="B2" t="str">
            <v>MS122095 - INSERT, HELICAL NON LOCK, 2-56 X 1D</v>
          </cell>
          <cell r="C2">
            <v>44838</v>
          </cell>
          <cell r="D2">
            <v>1</v>
          </cell>
          <cell r="E2" t="str">
            <v>קשיח</v>
          </cell>
          <cell r="F2" t="str">
            <v>01.0001</v>
          </cell>
          <cell r="G2">
            <v>46065</v>
          </cell>
          <cell r="H2" t="str">
            <v>01.0001</v>
          </cell>
          <cell r="I2" t="str">
            <v>לוונשטיין טכנולוגיות בע"מ</v>
          </cell>
          <cell r="J2">
            <v>0.6986</v>
          </cell>
          <cell r="K2" t="str">
            <v>₪</v>
          </cell>
          <cell r="L2">
            <v>1000</v>
          </cell>
          <cell r="M2" t="str">
            <v>יח'</v>
          </cell>
          <cell r="N2">
            <v>698.6</v>
          </cell>
        </row>
        <row r="3">
          <cell r="B3" t="str">
            <v>MS122095 - INSERT, HELICAL NON LOCK, 2-56 X 1D</v>
          </cell>
          <cell r="C3">
            <v>41920</v>
          </cell>
          <cell r="D3">
            <v>1</v>
          </cell>
          <cell r="E3" t="str">
            <v>קשיח</v>
          </cell>
          <cell r="F3" t="str">
            <v>01.0001</v>
          </cell>
          <cell r="G3">
            <v>45894</v>
          </cell>
          <cell r="H3" t="str">
            <v>01.0001</v>
          </cell>
          <cell r="I3" t="str">
            <v>לוונשטיין טכנולוגיות בע"מ</v>
          </cell>
          <cell r="J3">
            <v>0.6986</v>
          </cell>
          <cell r="K3" t="str">
            <v>₪</v>
          </cell>
          <cell r="L3">
            <v>1000</v>
          </cell>
          <cell r="M3" t="str">
            <v>יח'</v>
          </cell>
          <cell r="N3">
            <v>698.6</v>
          </cell>
        </row>
        <row r="4">
          <cell r="B4" t="str">
            <v>MS122095 - INSERT, HELICAL NON LOCK, 2-56 X 1D</v>
          </cell>
          <cell r="C4">
            <v>39184</v>
          </cell>
          <cell r="D4">
            <v>1</v>
          </cell>
          <cell r="E4" t="str">
            <v>קשיח</v>
          </cell>
          <cell r="F4" t="str">
            <v>01.0001</v>
          </cell>
          <cell r="G4">
            <v>45644</v>
          </cell>
          <cell r="H4" t="str">
            <v>01.0001</v>
          </cell>
          <cell r="I4" t="str">
            <v>לוונשטיין טכנולוגיות בע"מ</v>
          </cell>
          <cell r="J4">
            <v>0.6986</v>
          </cell>
          <cell r="K4" t="str">
            <v>₪</v>
          </cell>
          <cell r="L4">
            <v>3000</v>
          </cell>
          <cell r="M4" t="str">
            <v>יח'</v>
          </cell>
          <cell r="N4">
            <v>2095.8000000000002</v>
          </cell>
        </row>
        <row r="5">
          <cell r="B5" t="str">
            <v>MS122095 - INSERT, HELICAL NON LOCK, 2-56 X 1D</v>
          </cell>
          <cell r="C5">
            <v>36334</v>
          </cell>
          <cell r="D5">
            <v>1</v>
          </cell>
          <cell r="E5" t="str">
            <v>קשיח</v>
          </cell>
          <cell r="F5" t="str">
            <v>01.0001</v>
          </cell>
          <cell r="G5">
            <v>45327</v>
          </cell>
          <cell r="H5" t="str">
            <v>01.0001</v>
          </cell>
          <cell r="I5" t="str">
            <v>לוונשטיין טכנולוגיות בע"מ</v>
          </cell>
          <cell r="J5">
            <v>0.7</v>
          </cell>
          <cell r="K5" t="str">
            <v>₪</v>
          </cell>
          <cell r="L5">
            <v>5000</v>
          </cell>
          <cell r="M5" t="str">
            <v>יח'</v>
          </cell>
          <cell r="N5">
            <v>3500</v>
          </cell>
        </row>
        <row r="6">
          <cell r="B6" t="str">
            <v>MS122095 - INSERT, HELICAL NON LOCK, 2-56 X 1D</v>
          </cell>
          <cell r="C6">
            <v>36175</v>
          </cell>
          <cell r="D6">
            <v>1</v>
          </cell>
          <cell r="E6" t="str">
            <v>קשיח</v>
          </cell>
          <cell r="F6" t="str">
            <v>01.0001</v>
          </cell>
          <cell r="G6">
            <v>45312</v>
          </cell>
          <cell r="H6" t="str">
            <v>01.0001</v>
          </cell>
          <cell r="I6" t="str">
            <v>לוונשטיין טכנולוגיות בע"מ</v>
          </cell>
          <cell r="J6">
            <v>0.7</v>
          </cell>
          <cell r="K6" t="str">
            <v>₪</v>
          </cell>
          <cell r="L6">
            <v>2000</v>
          </cell>
          <cell r="M6" t="str">
            <v>יח'</v>
          </cell>
          <cell r="N6">
            <v>1400</v>
          </cell>
        </row>
        <row r="7">
          <cell r="B7" t="str">
            <v>MS122095 - INSERT, HELICAL NON LOCK, 2-56 X 1D</v>
          </cell>
          <cell r="C7">
            <v>36105</v>
          </cell>
          <cell r="D7">
            <v>1</v>
          </cell>
          <cell r="E7" t="str">
            <v>קשיח</v>
          </cell>
          <cell r="F7" t="str">
            <v>01.0001</v>
          </cell>
          <cell r="G7">
            <v>45305</v>
          </cell>
          <cell r="H7" t="str">
            <v>01.0001</v>
          </cell>
          <cell r="I7" t="str">
            <v>לוונשטיין טכנולוגיות בע"מ</v>
          </cell>
          <cell r="J7">
            <v>0.68259999999999998</v>
          </cell>
          <cell r="K7" t="str">
            <v>₪</v>
          </cell>
          <cell r="L7">
            <v>2000</v>
          </cell>
          <cell r="M7" t="str">
            <v>יח'</v>
          </cell>
          <cell r="N7">
            <v>1365.2</v>
          </cell>
        </row>
        <row r="8">
          <cell r="B8" t="str">
            <v>MS122095 - INSERT, HELICAL NON LOCK, 2-56 X 1D</v>
          </cell>
          <cell r="C8">
            <v>36106</v>
          </cell>
          <cell r="D8">
            <v>1</v>
          </cell>
          <cell r="E8" t="str">
            <v>קשיח</v>
          </cell>
          <cell r="F8" t="str">
            <v>01.0001</v>
          </cell>
          <cell r="G8">
            <v>45305</v>
          </cell>
          <cell r="H8" t="str">
            <v>01.0001</v>
          </cell>
          <cell r="I8" t="str">
            <v>לוונשטיין טכנולוגיות בע"מ</v>
          </cell>
          <cell r="J8">
            <v>0.7</v>
          </cell>
          <cell r="K8" t="str">
            <v>₪</v>
          </cell>
          <cell r="L8">
            <v>2000</v>
          </cell>
          <cell r="M8" t="str">
            <v>יח'</v>
          </cell>
          <cell r="N8">
            <v>1400</v>
          </cell>
        </row>
        <row r="9">
          <cell r="B9" t="str">
            <v>MS122095 - INSERT, HELICAL NON LOCK, 2-56 X 1D</v>
          </cell>
          <cell r="C9">
            <v>36017</v>
          </cell>
          <cell r="D9">
            <v>2</v>
          </cell>
          <cell r="E9" t="str">
            <v>קשיח</v>
          </cell>
          <cell r="F9" t="str">
            <v>01.0001</v>
          </cell>
          <cell r="G9">
            <v>45294</v>
          </cell>
          <cell r="H9" t="str">
            <v>01.0001</v>
          </cell>
          <cell r="I9" t="str">
            <v>לוונשטיין טכנולוגיות בע"מ</v>
          </cell>
          <cell r="J9">
            <v>0.68810000000000004</v>
          </cell>
          <cell r="K9" t="str">
            <v>₪</v>
          </cell>
          <cell r="L9">
            <v>3000</v>
          </cell>
          <cell r="M9" t="str">
            <v>יח'</v>
          </cell>
          <cell r="N9">
            <v>2064.3000000000002</v>
          </cell>
        </row>
        <row r="10">
          <cell r="B10" t="str">
            <v>MS122095 - INSERT, HELICAL NON LOCK, 2-56 X 1D</v>
          </cell>
          <cell r="C10">
            <v>35600</v>
          </cell>
          <cell r="D10">
            <v>1</v>
          </cell>
          <cell r="E10" t="str">
            <v>קשיח</v>
          </cell>
          <cell r="F10" t="str">
            <v>01.0001</v>
          </cell>
          <cell r="G10">
            <v>45252</v>
          </cell>
          <cell r="H10" t="str">
            <v>01.0001</v>
          </cell>
          <cell r="I10" t="str">
            <v>לוונשטיין טכנולוגיות בע"מ</v>
          </cell>
          <cell r="J10">
            <v>0.69</v>
          </cell>
          <cell r="K10" t="str">
            <v>₪</v>
          </cell>
          <cell r="L10">
            <v>2000</v>
          </cell>
          <cell r="M10" t="str">
            <v>יח'</v>
          </cell>
          <cell r="N10">
            <v>1380</v>
          </cell>
        </row>
        <row r="11">
          <cell r="B11" t="str">
            <v>MS122095 - INSERT, HELICAL NON LOCK, 2-56 X 1D</v>
          </cell>
          <cell r="C11">
            <v>34586</v>
          </cell>
          <cell r="D11">
            <v>1</v>
          </cell>
          <cell r="E11" t="str">
            <v>קשיח</v>
          </cell>
          <cell r="F11" t="str">
            <v>01.0001</v>
          </cell>
          <cell r="G11">
            <v>45131</v>
          </cell>
          <cell r="H11" t="str">
            <v>01.0001</v>
          </cell>
          <cell r="I11" t="str">
            <v>לוונשטיין טכנולוגיות בע"מ</v>
          </cell>
          <cell r="J11">
            <v>0.58989999999999998</v>
          </cell>
          <cell r="K11" t="str">
            <v>₪</v>
          </cell>
          <cell r="L11">
            <v>2000</v>
          </cell>
          <cell r="M11" t="str">
            <v>יח'</v>
          </cell>
          <cell r="N11">
            <v>1179.8</v>
          </cell>
        </row>
        <row r="12">
          <cell r="B12" t="str">
            <v>MS122095 - INSERT, HELICAL NON LOCK, 2-56 X 1D</v>
          </cell>
          <cell r="C12">
            <v>33906</v>
          </cell>
          <cell r="D12">
            <v>1</v>
          </cell>
          <cell r="E12" t="str">
            <v>קשיח</v>
          </cell>
          <cell r="F12" t="str">
            <v>01.0001</v>
          </cell>
          <cell r="G12">
            <v>45055</v>
          </cell>
          <cell r="H12" t="str">
            <v>01.0001</v>
          </cell>
          <cell r="I12" t="str">
            <v>לוונשטיין טכנולוגיות בע"מ</v>
          </cell>
          <cell r="J12">
            <v>0.59</v>
          </cell>
          <cell r="K12" t="str">
            <v>₪</v>
          </cell>
          <cell r="L12">
            <v>1000</v>
          </cell>
          <cell r="M12" t="str">
            <v>יח'</v>
          </cell>
          <cell r="N12">
            <v>590</v>
          </cell>
        </row>
        <row r="13">
          <cell r="B13" t="str">
            <v>MS122095 - INSERT, HELICAL NON LOCK, 2-56 X 1D</v>
          </cell>
          <cell r="C13">
            <v>33430</v>
          </cell>
          <cell r="D13">
            <v>1</v>
          </cell>
          <cell r="E13" t="str">
            <v>קשיח</v>
          </cell>
          <cell r="F13" t="str">
            <v>01.0001</v>
          </cell>
          <cell r="G13">
            <v>44973</v>
          </cell>
          <cell r="H13" t="str">
            <v>01.0001</v>
          </cell>
          <cell r="I13" t="str">
            <v>לוונשטיין טכנולוגיות בע"מ</v>
          </cell>
          <cell r="J13">
            <v>0.57999999999999996</v>
          </cell>
          <cell r="K13" t="str">
            <v>₪</v>
          </cell>
          <cell r="L13">
            <v>1000</v>
          </cell>
          <cell r="M13" t="str">
            <v>יח'</v>
          </cell>
          <cell r="N13">
            <v>580</v>
          </cell>
        </row>
        <row r="14">
          <cell r="B14" t="str">
            <v>MS122095 - INSERT, HELICAL NON LOCK, 2-56 X 1D</v>
          </cell>
          <cell r="C14">
            <v>33386</v>
          </cell>
          <cell r="D14">
            <v>1</v>
          </cell>
          <cell r="E14" t="str">
            <v>קשיח</v>
          </cell>
          <cell r="F14" t="str">
            <v>01.0001</v>
          </cell>
          <cell r="G14">
            <v>44969</v>
          </cell>
          <cell r="H14" t="str">
            <v>01.0001</v>
          </cell>
          <cell r="I14" t="str">
            <v>לוונשטיין טכנולוגיות בע"מ</v>
          </cell>
          <cell r="J14">
            <v>0.58430000000000004</v>
          </cell>
          <cell r="K14" t="str">
            <v>₪</v>
          </cell>
          <cell r="L14">
            <v>1000</v>
          </cell>
          <cell r="M14" t="str">
            <v>יח'</v>
          </cell>
          <cell r="N14">
            <v>584.30000000000007</v>
          </cell>
        </row>
        <row r="15">
          <cell r="B15" t="str">
            <v>MS122095 - INSERT, HELICAL NON LOCK, 2-56 X 1D</v>
          </cell>
          <cell r="C15">
            <v>33051</v>
          </cell>
          <cell r="D15">
            <v>1</v>
          </cell>
          <cell r="E15" t="str">
            <v>קשיח</v>
          </cell>
          <cell r="F15" t="str">
            <v>01.0001</v>
          </cell>
          <cell r="G15">
            <v>44917</v>
          </cell>
          <cell r="H15" t="str">
            <v>01.0001</v>
          </cell>
          <cell r="I15" t="str">
            <v>לוונשטיין טכנולוגיות בע"מ</v>
          </cell>
          <cell r="J15">
            <v>0.57999999999999996</v>
          </cell>
          <cell r="K15" t="str">
            <v>₪</v>
          </cell>
          <cell r="L15">
            <v>2000</v>
          </cell>
          <cell r="M15" t="str">
            <v>יח'</v>
          </cell>
          <cell r="N15">
            <v>1160</v>
          </cell>
        </row>
        <row r="16">
          <cell r="B16" t="str">
            <v>MS122095 - INSERT, HELICAL NON LOCK, 2-56 X 1D</v>
          </cell>
          <cell r="C16">
            <v>32484</v>
          </cell>
          <cell r="D16">
            <v>1</v>
          </cell>
          <cell r="E16" t="str">
            <v>קשיח</v>
          </cell>
          <cell r="F16" t="str">
            <v>01.0001</v>
          </cell>
          <cell r="G16">
            <v>44826</v>
          </cell>
          <cell r="H16" t="str">
            <v>01.0001</v>
          </cell>
          <cell r="I16" t="str">
            <v>דר טכנולוגיות בע"מ</v>
          </cell>
          <cell r="J16">
            <v>0.45</v>
          </cell>
          <cell r="K16" t="str">
            <v>₪</v>
          </cell>
          <cell r="L16">
            <v>2000</v>
          </cell>
          <cell r="M16" t="str">
            <v>יח'</v>
          </cell>
          <cell r="N16">
            <v>900</v>
          </cell>
        </row>
        <row r="17">
          <cell r="B17" t="str">
            <v>MS122095 - INSERT, HELICAL NON LOCK, 2-56 X 1D</v>
          </cell>
          <cell r="C17">
            <v>31786</v>
          </cell>
          <cell r="D17">
            <v>1</v>
          </cell>
          <cell r="E17" t="str">
            <v>קשיח</v>
          </cell>
          <cell r="F17" t="str">
            <v>01.0001</v>
          </cell>
          <cell r="G17">
            <v>44728</v>
          </cell>
          <cell r="H17" t="str">
            <v>01.0001</v>
          </cell>
          <cell r="I17" t="str">
            <v>דר טכנולוגיות בע"מ</v>
          </cell>
          <cell r="J17">
            <v>0.45</v>
          </cell>
          <cell r="K17" t="str">
            <v>₪</v>
          </cell>
          <cell r="L17">
            <v>4000</v>
          </cell>
          <cell r="M17" t="str">
            <v>יח'</v>
          </cell>
          <cell r="N17">
            <v>1800</v>
          </cell>
        </row>
        <row r="18">
          <cell r="B18" t="str">
            <v>MS122095 - INSERT, HELICAL NON LOCK, 2-56 X 1D</v>
          </cell>
          <cell r="C18">
            <v>31794</v>
          </cell>
          <cell r="D18">
            <v>1</v>
          </cell>
          <cell r="E18" t="str">
            <v>קשיח</v>
          </cell>
          <cell r="F18" t="str">
            <v>01.0001</v>
          </cell>
          <cell r="G18">
            <v>44728</v>
          </cell>
          <cell r="H18" t="str">
            <v>01.0001</v>
          </cell>
          <cell r="I18" t="str">
            <v>לוונשטיין טכנולוגיות בע"מ</v>
          </cell>
          <cell r="J18">
            <v>0.53</v>
          </cell>
          <cell r="K18" t="str">
            <v>₪</v>
          </cell>
          <cell r="L18">
            <v>4000</v>
          </cell>
          <cell r="M18" t="str">
            <v>יח'</v>
          </cell>
          <cell r="N18">
            <v>2120</v>
          </cell>
        </row>
        <row r="19">
          <cell r="B19" t="str">
            <v>MS122095 - INSERT, HELICAL NON LOCK, 2-56 X 1D</v>
          </cell>
          <cell r="C19">
            <v>31352</v>
          </cell>
          <cell r="D19">
            <v>1</v>
          </cell>
          <cell r="E19" t="str">
            <v>קשיח</v>
          </cell>
          <cell r="F19" t="str">
            <v>01.0001</v>
          </cell>
          <cell r="G19">
            <v>44675</v>
          </cell>
          <cell r="H19" t="str">
            <v>01.0001</v>
          </cell>
          <cell r="I19" t="str">
            <v>דר טכנולוגיות בע"מ</v>
          </cell>
          <cell r="J19">
            <v>0.44750000000000001</v>
          </cell>
          <cell r="K19" t="str">
            <v>₪</v>
          </cell>
          <cell r="L19">
            <v>2000</v>
          </cell>
          <cell r="M19" t="str">
            <v>יח'</v>
          </cell>
          <cell r="N19">
            <v>895</v>
          </cell>
        </row>
        <row r="20">
          <cell r="B20" t="str">
            <v>MS122095 - INSERT, HELICAL NON LOCK, 2-56 X 1D</v>
          </cell>
          <cell r="C20">
            <v>30726</v>
          </cell>
          <cell r="D20">
            <v>2</v>
          </cell>
          <cell r="E20" t="str">
            <v>קשיח</v>
          </cell>
          <cell r="F20" t="str">
            <v>01.0001</v>
          </cell>
          <cell r="G20">
            <v>44584</v>
          </cell>
          <cell r="H20" t="str">
            <v>01.0001</v>
          </cell>
          <cell r="I20" t="str">
            <v>דר טכנולוגיות בע"מ</v>
          </cell>
          <cell r="J20">
            <v>0.45</v>
          </cell>
          <cell r="K20" t="str">
            <v>₪</v>
          </cell>
          <cell r="L20">
            <v>1000</v>
          </cell>
          <cell r="M20" t="str">
            <v>יח'</v>
          </cell>
          <cell r="N20">
            <v>450</v>
          </cell>
        </row>
        <row r="21">
          <cell r="B21" t="str">
            <v>MS122095 - INSERT, HELICAL NON LOCK, 2-56 X 1D</v>
          </cell>
          <cell r="C21">
            <v>28749</v>
          </cell>
          <cell r="D21">
            <v>1</v>
          </cell>
          <cell r="E21" t="str">
            <v>קשיח</v>
          </cell>
          <cell r="F21" t="str">
            <v>01.0001</v>
          </cell>
          <cell r="G21">
            <v>44319</v>
          </cell>
          <cell r="H21" t="str">
            <v>01.0001</v>
          </cell>
          <cell r="I21" t="str">
            <v>דר טכנולוגיות בע"מ</v>
          </cell>
          <cell r="J21">
            <v>0.44550000000000001</v>
          </cell>
          <cell r="K21" t="str">
            <v>₪</v>
          </cell>
          <cell r="L21">
            <v>1000</v>
          </cell>
          <cell r="M21" t="str">
            <v>יח'</v>
          </cell>
          <cell r="N21">
            <v>445.5</v>
          </cell>
        </row>
        <row r="22">
          <cell r="B22" t="str">
            <v>MS122095 - INSERT, HELICAL NON LOCK, 2-56 X 1D</v>
          </cell>
          <cell r="C22">
            <v>28420</v>
          </cell>
          <cell r="D22">
            <v>1</v>
          </cell>
          <cell r="E22" t="str">
            <v>קשיח</v>
          </cell>
          <cell r="F22" t="str">
            <v>01.0001</v>
          </cell>
          <cell r="G22">
            <v>44272</v>
          </cell>
          <cell r="H22" t="str">
            <v>01.0001</v>
          </cell>
          <cell r="I22" t="str">
            <v>דר טכנולוגיות בע"מ</v>
          </cell>
          <cell r="J22">
            <v>0.44540000000000002</v>
          </cell>
          <cell r="K22" t="str">
            <v>₪</v>
          </cell>
          <cell r="L22">
            <v>1000</v>
          </cell>
          <cell r="M22" t="str">
            <v>יח'</v>
          </cell>
          <cell r="N22">
            <v>445.40000000000003</v>
          </cell>
        </row>
        <row r="23">
          <cell r="B23" t="str">
            <v>MS122095 - INSERT, HELICAL NON LOCK, 2-56 X 1D</v>
          </cell>
          <cell r="C23">
            <v>27911</v>
          </cell>
          <cell r="D23">
            <v>1</v>
          </cell>
          <cell r="E23" t="str">
            <v>קשיח</v>
          </cell>
          <cell r="F23" t="str">
            <v>01.0001</v>
          </cell>
          <cell r="G23">
            <v>44201</v>
          </cell>
          <cell r="H23" t="str">
            <v>01.0001</v>
          </cell>
          <cell r="I23" t="str">
            <v>דר טכנולוגיות בע"מ</v>
          </cell>
          <cell r="J23">
            <v>0.4466</v>
          </cell>
          <cell r="K23" t="str">
            <v>₪</v>
          </cell>
          <cell r="L23">
            <v>1000</v>
          </cell>
          <cell r="M23" t="str">
            <v>יח'</v>
          </cell>
          <cell r="N23">
            <v>446.6</v>
          </cell>
        </row>
        <row r="24">
          <cell r="B24" t="str">
            <v>MS122095 - INSERT, HELICAL NON LOCK, 2-56 X 1D</v>
          </cell>
          <cell r="C24">
            <v>26049</v>
          </cell>
          <cell r="D24">
            <v>1</v>
          </cell>
          <cell r="E24" t="str">
            <v>קשיח</v>
          </cell>
          <cell r="F24" t="str">
            <v>01.0001</v>
          </cell>
          <cell r="G24">
            <v>43947</v>
          </cell>
          <cell r="H24" t="str">
            <v>01.0001</v>
          </cell>
          <cell r="I24" t="str">
            <v>דר טכנולוגיות בע"מ</v>
          </cell>
          <cell r="J24">
            <v>0.44790000000000002</v>
          </cell>
          <cell r="K24" t="str">
            <v>₪</v>
          </cell>
          <cell r="L24">
            <v>1000</v>
          </cell>
          <cell r="M24" t="str">
            <v>יח'</v>
          </cell>
          <cell r="N24">
            <v>447.90000000000003</v>
          </cell>
        </row>
        <row r="25">
          <cell r="B25" t="str">
            <v>MS122095 - INSERT, HELICAL NON LOCK, 2-56 X 1D</v>
          </cell>
          <cell r="C25">
            <v>23986</v>
          </cell>
          <cell r="D25">
            <v>1</v>
          </cell>
          <cell r="E25" t="str">
            <v>קשיח</v>
          </cell>
          <cell r="F25" t="str">
            <v>01.0001</v>
          </cell>
          <cell r="G25">
            <v>43629</v>
          </cell>
          <cell r="H25" t="str">
            <v>01.0001</v>
          </cell>
          <cell r="I25" t="str">
            <v>דר טכנולוגיות בע"מ</v>
          </cell>
          <cell r="J25">
            <v>0.45</v>
          </cell>
          <cell r="K25" t="str">
            <v>₪</v>
          </cell>
          <cell r="L25">
            <v>1000</v>
          </cell>
          <cell r="M25" t="str">
            <v>יח'</v>
          </cell>
          <cell r="N25">
            <v>450</v>
          </cell>
        </row>
        <row r="26">
          <cell r="B26" t="str">
            <v>MS122095 - INSERT, HELICAL NON LOCK, 2-56 X 1D</v>
          </cell>
          <cell r="C26">
            <v>23915</v>
          </cell>
          <cell r="D26">
            <v>1</v>
          </cell>
          <cell r="E26" t="str">
            <v>קשיח</v>
          </cell>
          <cell r="F26" t="str">
            <v>01.0001</v>
          </cell>
          <cell r="G26">
            <v>43621</v>
          </cell>
          <cell r="H26" t="str">
            <v>01.0001</v>
          </cell>
          <cell r="I26" t="str">
            <v>ברמיל בע"מ</v>
          </cell>
          <cell r="J26">
            <v>0.4</v>
          </cell>
          <cell r="K26" t="str">
            <v>₪</v>
          </cell>
          <cell r="L26">
            <v>1000</v>
          </cell>
          <cell r="M26" t="str">
            <v>יח'</v>
          </cell>
          <cell r="N26">
            <v>400</v>
          </cell>
        </row>
        <row r="27">
          <cell r="B27" t="str">
            <v>MS122116, INSERT, HELICAL, 4-40</v>
          </cell>
          <cell r="C27">
            <v>41323</v>
          </cell>
          <cell r="D27">
            <v>1</v>
          </cell>
          <cell r="E27" t="str">
            <v>קשיח</v>
          </cell>
          <cell r="F27" t="str">
            <v>01.0002</v>
          </cell>
          <cell r="G27">
            <v>45838</v>
          </cell>
          <cell r="H27" t="str">
            <v>01.0002</v>
          </cell>
          <cell r="I27" t="str">
            <v>דר טכנולוגיות בע"מ</v>
          </cell>
          <cell r="J27">
            <v>0.4</v>
          </cell>
          <cell r="K27" t="str">
            <v>₪</v>
          </cell>
          <cell r="L27">
            <v>6000</v>
          </cell>
          <cell r="M27" t="str">
            <v>יח'</v>
          </cell>
          <cell r="N27">
            <v>2400</v>
          </cell>
        </row>
        <row r="28">
          <cell r="B28" t="str">
            <v>MS122116, INSERT, HELICAL, 4-40</v>
          </cell>
          <cell r="C28">
            <v>40548</v>
          </cell>
          <cell r="D28">
            <v>1</v>
          </cell>
          <cell r="E28" t="str">
            <v>קשיח</v>
          </cell>
          <cell r="F28" t="str">
            <v>01.0002</v>
          </cell>
          <cell r="G28">
            <v>45763</v>
          </cell>
          <cell r="H28" t="str">
            <v>01.0002</v>
          </cell>
          <cell r="I28" t="str">
            <v>דר טכנולוגיות בע"מ</v>
          </cell>
          <cell r="J28">
            <v>0.4</v>
          </cell>
          <cell r="K28" t="str">
            <v>₪</v>
          </cell>
          <cell r="L28">
            <v>16000</v>
          </cell>
          <cell r="M28" t="str">
            <v>יח'</v>
          </cell>
          <cell r="N28">
            <v>6400</v>
          </cell>
        </row>
        <row r="29">
          <cell r="B29" t="str">
            <v>MS122116, INSERT, HELICAL, 4-40</v>
          </cell>
          <cell r="C29">
            <v>39487</v>
          </cell>
          <cell r="D29">
            <v>1</v>
          </cell>
          <cell r="E29" t="str">
            <v>קשיח</v>
          </cell>
          <cell r="F29" t="str">
            <v>01.0002</v>
          </cell>
          <cell r="G29">
            <v>45670</v>
          </cell>
          <cell r="H29" t="str">
            <v>01.0002</v>
          </cell>
          <cell r="I29" t="str">
            <v>לוונשטיין טכנולוגיות בע"מ</v>
          </cell>
          <cell r="J29">
            <v>0.48</v>
          </cell>
          <cell r="K29" t="str">
            <v>₪</v>
          </cell>
          <cell r="L29">
            <v>15000</v>
          </cell>
          <cell r="M29" t="str">
            <v>יח'</v>
          </cell>
          <cell r="N29">
            <v>7200</v>
          </cell>
        </row>
        <row r="30">
          <cell r="B30" t="str">
            <v>MS122116, INSERT, HELICAL, 4-40</v>
          </cell>
          <cell r="C30">
            <v>37269</v>
          </cell>
          <cell r="D30">
            <v>1</v>
          </cell>
          <cell r="E30" t="str">
            <v>קשיח</v>
          </cell>
          <cell r="F30" t="str">
            <v>01.0002</v>
          </cell>
          <cell r="G30">
            <v>45435</v>
          </cell>
          <cell r="H30" t="str">
            <v>01.0002</v>
          </cell>
          <cell r="I30" t="str">
            <v>לוונשטיין טכנולוגיות בע"מ</v>
          </cell>
          <cell r="J30">
            <v>0.48</v>
          </cell>
          <cell r="K30" t="str">
            <v>₪</v>
          </cell>
          <cell r="L30">
            <v>15000</v>
          </cell>
          <cell r="M30" t="str">
            <v>יח'</v>
          </cell>
          <cell r="N30">
            <v>7200</v>
          </cell>
        </row>
        <row r="31">
          <cell r="B31" t="str">
            <v>MS122116, INSERT, HELICAL, 4-40</v>
          </cell>
          <cell r="C31">
            <v>37269</v>
          </cell>
          <cell r="D31">
            <v>2</v>
          </cell>
          <cell r="E31" t="str">
            <v>קשיח</v>
          </cell>
          <cell r="F31" t="str">
            <v>01.0002</v>
          </cell>
          <cell r="G31">
            <v>45435</v>
          </cell>
          <cell r="H31" t="str">
            <v>01.0002</v>
          </cell>
          <cell r="I31" t="str">
            <v>לוונשטיין טכנולוגיות בע"מ</v>
          </cell>
          <cell r="J31">
            <v>0.48</v>
          </cell>
          <cell r="K31" t="str">
            <v>₪</v>
          </cell>
          <cell r="L31">
            <v>15000</v>
          </cell>
          <cell r="M31" t="str">
            <v>יח'</v>
          </cell>
          <cell r="N31">
            <v>7200</v>
          </cell>
        </row>
        <row r="32">
          <cell r="B32" t="str">
            <v>MS122116, INSERT, HELICAL, 4-40</v>
          </cell>
          <cell r="C32">
            <v>37269</v>
          </cell>
          <cell r="D32">
            <v>3</v>
          </cell>
          <cell r="E32" t="str">
            <v>קשיח</v>
          </cell>
          <cell r="F32" t="str">
            <v>01.0002</v>
          </cell>
          <cell r="G32">
            <v>45435</v>
          </cell>
          <cell r="H32" t="str">
            <v>01.0002</v>
          </cell>
          <cell r="I32" t="str">
            <v>לוונשטיין טכנולוגיות בע"מ</v>
          </cell>
          <cell r="J32">
            <v>0.48</v>
          </cell>
          <cell r="K32" t="str">
            <v>₪</v>
          </cell>
          <cell r="L32">
            <v>15000</v>
          </cell>
          <cell r="M32" t="str">
            <v>יח'</v>
          </cell>
          <cell r="N32">
            <v>7200</v>
          </cell>
        </row>
        <row r="33">
          <cell r="B33" t="str">
            <v>MS122116, INSERT, HELICAL, 4-40</v>
          </cell>
          <cell r="C33">
            <v>37269</v>
          </cell>
          <cell r="D33">
            <v>4</v>
          </cell>
          <cell r="E33" t="str">
            <v>קשיח</v>
          </cell>
          <cell r="F33" t="str">
            <v>01.0002</v>
          </cell>
          <cell r="G33">
            <v>45435</v>
          </cell>
          <cell r="H33" t="str">
            <v>01.0002</v>
          </cell>
          <cell r="I33" t="str">
            <v>לוונשטיין טכנולוגיות בע"מ</v>
          </cell>
          <cell r="J33">
            <v>0.48</v>
          </cell>
          <cell r="K33" t="str">
            <v>₪</v>
          </cell>
          <cell r="L33">
            <v>15000</v>
          </cell>
          <cell r="M33" t="str">
            <v>יח'</v>
          </cell>
          <cell r="N33">
            <v>7200</v>
          </cell>
        </row>
        <row r="34">
          <cell r="B34" t="str">
            <v>MS122116, INSERT, HELICAL, 4-40</v>
          </cell>
          <cell r="C34">
            <v>36877</v>
          </cell>
          <cell r="D34">
            <v>1</v>
          </cell>
          <cell r="E34" t="str">
            <v>קשיח</v>
          </cell>
          <cell r="F34" t="str">
            <v>01.0002</v>
          </cell>
          <cell r="G34">
            <v>45390</v>
          </cell>
          <cell r="H34" t="str">
            <v>01.0002</v>
          </cell>
          <cell r="I34" t="str">
            <v>לוונשטיין טכנולוגיות בע"מ</v>
          </cell>
          <cell r="J34">
            <v>0.53</v>
          </cell>
          <cell r="K34" t="str">
            <v>₪</v>
          </cell>
          <cell r="L34">
            <v>2000</v>
          </cell>
          <cell r="M34" t="str">
            <v>יח'</v>
          </cell>
          <cell r="N34">
            <v>1060</v>
          </cell>
        </row>
        <row r="35">
          <cell r="B35" t="str">
            <v>MS122116, INSERT, HELICAL, 4-40</v>
          </cell>
          <cell r="C35">
            <v>35548</v>
          </cell>
          <cell r="D35">
            <v>1</v>
          </cell>
          <cell r="E35" t="str">
            <v>קשיח</v>
          </cell>
          <cell r="F35" t="str">
            <v>01.0002</v>
          </cell>
          <cell r="G35">
            <v>45244</v>
          </cell>
          <cell r="H35" t="str">
            <v>01.0002</v>
          </cell>
          <cell r="I35" t="str">
            <v>לוונשטיין טכנולוגיות בע"מ</v>
          </cell>
          <cell r="J35">
            <v>0.53</v>
          </cell>
          <cell r="K35" t="str">
            <v>₪</v>
          </cell>
          <cell r="L35">
            <v>1000</v>
          </cell>
          <cell r="M35" t="str">
            <v>יח'</v>
          </cell>
          <cell r="N35">
            <v>530</v>
          </cell>
        </row>
        <row r="36">
          <cell r="B36" t="str">
            <v>MS122116, INSERT, HELICAL, 4-40</v>
          </cell>
          <cell r="C36">
            <v>35504</v>
          </cell>
          <cell r="D36">
            <v>1</v>
          </cell>
          <cell r="E36" t="str">
            <v>קשיח</v>
          </cell>
          <cell r="F36" t="str">
            <v>01.0002</v>
          </cell>
          <cell r="G36">
            <v>45238</v>
          </cell>
          <cell r="H36" t="str">
            <v>01.0002</v>
          </cell>
          <cell r="I36" t="str">
            <v>לוונשטיין טכנולוגיות בע"מ</v>
          </cell>
          <cell r="J36">
            <v>0.53</v>
          </cell>
          <cell r="K36" t="str">
            <v>₪</v>
          </cell>
          <cell r="L36">
            <v>3000</v>
          </cell>
          <cell r="M36" t="str">
            <v>יח'</v>
          </cell>
          <cell r="N36">
            <v>1590</v>
          </cell>
        </row>
        <row r="37">
          <cell r="B37" t="str">
            <v>MS122116, INSERT, HELICAL, 4-40</v>
          </cell>
          <cell r="C37">
            <v>35427</v>
          </cell>
          <cell r="D37">
            <v>1</v>
          </cell>
          <cell r="E37" t="str">
            <v>קשיח</v>
          </cell>
          <cell r="F37" t="str">
            <v>01.0002</v>
          </cell>
          <cell r="G37">
            <v>45229</v>
          </cell>
          <cell r="H37" t="str">
            <v>01.0002</v>
          </cell>
          <cell r="I37" t="str">
            <v>לוונשטיין טכנולוגיות בע"מ</v>
          </cell>
          <cell r="J37">
            <v>0.53</v>
          </cell>
          <cell r="K37" t="str">
            <v>₪</v>
          </cell>
          <cell r="L37">
            <v>2000</v>
          </cell>
          <cell r="M37" t="str">
            <v>יח'</v>
          </cell>
          <cell r="N37">
            <v>1060</v>
          </cell>
        </row>
        <row r="38">
          <cell r="B38" t="str">
            <v>MS122116, INSERT, HELICAL, 4-40</v>
          </cell>
          <cell r="C38">
            <v>35338</v>
          </cell>
          <cell r="D38">
            <v>3</v>
          </cell>
          <cell r="E38" t="str">
            <v>קשיח</v>
          </cell>
          <cell r="F38" t="str">
            <v>01.0002</v>
          </cell>
          <cell r="G38">
            <v>45216</v>
          </cell>
          <cell r="H38" t="str">
            <v>01.0002</v>
          </cell>
          <cell r="I38" t="str">
            <v>לוונשטיין טכנולוגיות בע"מ</v>
          </cell>
          <cell r="J38">
            <v>0.53</v>
          </cell>
          <cell r="K38" t="str">
            <v>₪</v>
          </cell>
          <cell r="L38">
            <v>1000</v>
          </cell>
          <cell r="M38" t="str">
            <v>יח'</v>
          </cell>
          <cell r="N38">
            <v>530</v>
          </cell>
        </row>
        <row r="39">
          <cell r="B39" t="str">
            <v>MS122116, INSERT, HELICAL, 4-40</v>
          </cell>
          <cell r="C39">
            <v>35081</v>
          </cell>
          <cell r="D39">
            <v>5</v>
          </cell>
          <cell r="E39" t="str">
            <v>קשיח</v>
          </cell>
          <cell r="F39" t="str">
            <v>01.0002</v>
          </cell>
          <cell r="G39">
            <v>45180</v>
          </cell>
          <cell r="H39" t="str">
            <v>01.0002</v>
          </cell>
          <cell r="I39" t="str">
            <v>לוונשטיין טכנולוגיות בע"מ</v>
          </cell>
          <cell r="J39">
            <v>0.53</v>
          </cell>
          <cell r="K39" t="str">
            <v>₪</v>
          </cell>
          <cell r="L39">
            <v>2000</v>
          </cell>
          <cell r="M39" t="str">
            <v>יח'</v>
          </cell>
          <cell r="N39">
            <v>1060</v>
          </cell>
        </row>
        <row r="40">
          <cell r="B40" t="str">
            <v>MS122116, INSERT, HELICAL, 4-40</v>
          </cell>
          <cell r="C40">
            <v>34591</v>
          </cell>
          <cell r="D40">
            <v>1</v>
          </cell>
          <cell r="E40" t="str">
            <v>קשיח</v>
          </cell>
          <cell r="F40" t="str">
            <v>01.0002</v>
          </cell>
          <cell r="G40">
            <v>45131</v>
          </cell>
          <cell r="H40" t="str">
            <v>01.0002</v>
          </cell>
          <cell r="I40" t="str">
            <v>דר טכנולוגיות בע"מ</v>
          </cell>
          <cell r="J40">
            <v>0.43</v>
          </cell>
          <cell r="K40" t="str">
            <v>₪</v>
          </cell>
          <cell r="L40">
            <v>2000</v>
          </cell>
          <cell r="M40" t="str">
            <v>יח'</v>
          </cell>
          <cell r="N40">
            <v>860</v>
          </cell>
        </row>
        <row r="41">
          <cell r="B41" t="str">
            <v>MS122116, INSERT, HELICAL, 4-40</v>
          </cell>
          <cell r="C41">
            <v>34199</v>
          </cell>
          <cell r="D41">
            <v>1</v>
          </cell>
          <cell r="E41" t="str">
            <v>קשיח</v>
          </cell>
          <cell r="F41" t="str">
            <v>01.0002</v>
          </cell>
          <cell r="G41">
            <v>45090</v>
          </cell>
          <cell r="H41" t="str">
            <v>01.0002</v>
          </cell>
          <cell r="I41" t="str">
            <v>דר טכנולוגיות בע"מ</v>
          </cell>
          <cell r="J41">
            <v>0.43</v>
          </cell>
          <cell r="K41" t="str">
            <v>₪</v>
          </cell>
          <cell r="L41">
            <v>1000</v>
          </cell>
          <cell r="M41" t="str">
            <v>יח'</v>
          </cell>
          <cell r="N41">
            <v>430</v>
          </cell>
        </row>
        <row r="42">
          <cell r="B42" t="str">
            <v>MS122116, INSERT, HELICAL, 4-40</v>
          </cell>
          <cell r="C42">
            <v>33920</v>
          </cell>
          <cell r="D42">
            <v>1</v>
          </cell>
          <cell r="E42" t="str">
            <v>קשיח</v>
          </cell>
          <cell r="F42" t="str">
            <v>01.0002</v>
          </cell>
          <cell r="G42">
            <v>45056</v>
          </cell>
          <cell r="H42" t="str">
            <v>01.0002</v>
          </cell>
          <cell r="I42" t="str">
            <v>דר טכנולוגיות בע"מ</v>
          </cell>
          <cell r="J42">
            <v>0.43</v>
          </cell>
          <cell r="K42" t="str">
            <v>₪</v>
          </cell>
          <cell r="L42">
            <v>1000</v>
          </cell>
          <cell r="M42" t="str">
            <v>יח'</v>
          </cell>
          <cell r="N42">
            <v>430</v>
          </cell>
        </row>
        <row r="43">
          <cell r="B43" t="str">
            <v>MS122116, INSERT, HELICAL, 4-40</v>
          </cell>
          <cell r="C43">
            <v>31209</v>
          </cell>
          <cell r="D43">
            <v>1</v>
          </cell>
          <cell r="E43" t="str">
            <v>קשיח</v>
          </cell>
          <cell r="F43" t="str">
            <v>01.0002</v>
          </cell>
          <cell r="G43">
            <v>44650</v>
          </cell>
          <cell r="H43" t="str">
            <v>01.0002</v>
          </cell>
          <cell r="I43" t="str">
            <v>דר טכנולוגיות בע"מ</v>
          </cell>
          <cell r="J43">
            <v>0.41020000000000001</v>
          </cell>
          <cell r="K43" t="str">
            <v>₪</v>
          </cell>
          <cell r="L43">
            <v>1000</v>
          </cell>
          <cell r="M43" t="str">
            <v>יח'</v>
          </cell>
          <cell r="N43">
            <v>410.2</v>
          </cell>
        </row>
        <row r="44">
          <cell r="B44" t="str">
            <v>MS122116, INSERT, HELICAL, 4-40</v>
          </cell>
          <cell r="C44">
            <v>5444</v>
          </cell>
          <cell r="D44">
            <v>1</v>
          </cell>
          <cell r="E44" t="str">
            <v>קשיח</v>
          </cell>
          <cell r="F44" t="str">
            <v>01.0002</v>
          </cell>
          <cell r="G44">
            <v>41751</v>
          </cell>
          <cell r="H44" t="str">
            <v>01.0002</v>
          </cell>
          <cell r="I44" t="str">
            <v>לוונשטיין טכנולוגיות</v>
          </cell>
          <cell r="J44">
            <v>0.5</v>
          </cell>
          <cell r="K44" t="str">
            <v>₪</v>
          </cell>
          <cell r="M44" t="str">
            <v>יח'</v>
          </cell>
        </row>
        <row r="45">
          <cell r="B45" t="str">
            <v/>
          </cell>
          <cell r="C45">
            <v>2653</v>
          </cell>
          <cell r="D45">
            <v>1</v>
          </cell>
          <cell r="E45" t="str">
            <v>קשיח</v>
          </cell>
          <cell r="F45" t="str">
            <v>01.0002</v>
          </cell>
          <cell r="G45">
            <v>41406</v>
          </cell>
          <cell r="H45" t="str">
            <v>01.0002</v>
          </cell>
          <cell r="I45" t="str">
            <v/>
          </cell>
          <cell r="J45">
            <v>0.5</v>
          </cell>
          <cell r="K45" t="str">
            <v>₪</v>
          </cell>
          <cell r="M45" t="str">
            <v>יח'</v>
          </cell>
        </row>
        <row r="46">
          <cell r="B46" t="str">
            <v>MS122116, INSERT, HELICAL, 4-40</v>
          </cell>
          <cell r="C46">
            <v>2663</v>
          </cell>
          <cell r="D46">
            <v>1</v>
          </cell>
          <cell r="E46" t="str">
            <v>קשיח</v>
          </cell>
          <cell r="F46" t="str">
            <v>01.0002</v>
          </cell>
          <cell r="G46">
            <v>41406</v>
          </cell>
          <cell r="H46" t="str">
            <v>01.0002</v>
          </cell>
          <cell r="I46" t="str">
            <v>לוונשטיין טכנולוגיות</v>
          </cell>
          <cell r="J46">
            <v>0.5</v>
          </cell>
          <cell r="K46" t="str">
            <v>₪</v>
          </cell>
          <cell r="L46">
            <v>1000</v>
          </cell>
          <cell r="M46" t="str">
            <v>יח'</v>
          </cell>
          <cell r="N46">
            <v>500</v>
          </cell>
        </row>
        <row r="47">
          <cell r="B47" t="str">
            <v>הליקיול MS 122116</v>
          </cell>
          <cell r="C47">
            <v>1925</v>
          </cell>
          <cell r="D47">
            <v>1</v>
          </cell>
          <cell r="E47" t="str">
            <v>קשיח</v>
          </cell>
          <cell r="F47" t="str">
            <v>01.0002</v>
          </cell>
          <cell r="G47">
            <v>41312</v>
          </cell>
          <cell r="H47" t="str">
            <v>01.0002</v>
          </cell>
          <cell r="I47" t="str">
            <v>לוונשטיין טכנולוגיות</v>
          </cell>
          <cell r="J47">
            <v>0.5</v>
          </cell>
          <cell r="K47" t="str">
            <v>₪</v>
          </cell>
          <cell r="L47">
            <v>3000</v>
          </cell>
          <cell r="M47" t="str">
            <v>יח'</v>
          </cell>
          <cell r="N47">
            <v>1500</v>
          </cell>
        </row>
        <row r="48">
          <cell r="B48" t="str">
            <v>הליקיול MS 122116</v>
          </cell>
          <cell r="C48">
            <v>1847</v>
          </cell>
          <cell r="D48">
            <v>4</v>
          </cell>
          <cell r="E48" t="str">
            <v>קשיח</v>
          </cell>
          <cell r="F48" t="str">
            <v>01.0002</v>
          </cell>
          <cell r="G48">
            <v>41305</v>
          </cell>
          <cell r="H48" t="str">
            <v>01.0002</v>
          </cell>
          <cell r="I48" t="str">
            <v>טמבור הפצות בע"מ</v>
          </cell>
          <cell r="J48">
            <v>0.1343</v>
          </cell>
          <cell r="K48" t="str">
            <v>$</v>
          </cell>
          <cell r="M48" t="str">
            <v>יח'</v>
          </cell>
        </row>
        <row r="49">
          <cell r="B49" t="str">
            <v>הליקיול MS 122116</v>
          </cell>
          <cell r="C49">
            <v>983</v>
          </cell>
          <cell r="D49">
            <v>1</v>
          </cell>
          <cell r="E49" t="str">
            <v>קשיח</v>
          </cell>
          <cell r="F49" t="str">
            <v>01.0002</v>
          </cell>
          <cell r="G49">
            <v>41200</v>
          </cell>
          <cell r="H49" t="str">
            <v>01.0002</v>
          </cell>
          <cell r="I49" t="str">
            <v>לוונשטיין טכנולוגיות</v>
          </cell>
          <cell r="J49">
            <v>0.5</v>
          </cell>
          <cell r="K49" t="str">
            <v>₪</v>
          </cell>
          <cell r="L49">
            <v>3000</v>
          </cell>
          <cell r="M49" t="str">
            <v>יח'</v>
          </cell>
          <cell r="N49">
            <v>1500</v>
          </cell>
        </row>
        <row r="50">
          <cell r="B50" t="str">
            <v>הליקיול MS 122116</v>
          </cell>
          <cell r="C50">
            <v>454</v>
          </cell>
          <cell r="D50">
            <v>2</v>
          </cell>
          <cell r="E50" t="str">
            <v>קשיח</v>
          </cell>
          <cell r="F50" t="str">
            <v>01.0002</v>
          </cell>
          <cell r="G50">
            <v>41128</v>
          </cell>
          <cell r="H50" t="str">
            <v>01.0002</v>
          </cell>
          <cell r="I50" t="str">
            <v>לוונשטיין טכנולוגיות</v>
          </cell>
          <cell r="J50">
            <v>0.48499999999999999</v>
          </cell>
          <cell r="K50" t="str">
            <v>₪</v>
          </cell>
          <cell r="L50">
            <v>1000</v>
          </cell>
          <cell r="M50" t="str">
            <v>יח'</v>
          </cell>
          <cell r="N50">
            <v>485</v>
          </cell>
        </row>
        <row r="51">
          <cell r="B51" t="str">
            <v>הליקיול MS 122116</v>
          </cell>
          <cell r="C51">
            <v>38</v>
          </cell>
          <cell r="D51">
            <v>1</v>
          </cell>
          <cell r="E51" t="str">
            <v>קשיח</v>
          </cell>
          <cell r="F51" t="str">
            <v>01.0002</v>
          </cell>
          <cell r="G51">
            <v>41079</v>
          </cell>
          <cell r="H51" t="str">
            <v>01.0002</v>
          </cell>
          <cell r="I51" t="str">
            <v>לוונשטיין טכנולוגיות</v>
          </cell>
          <cell r="J51">
            <v>0.6</v>
          </cell>
          <cell r="K51" t="str">
            <v>₪</v>
          </cell>
          <cell r="L51">
            <v>2000</v>
          </cell>
          <cell r="M51" t="str">
            <v>יח'</v>
          </cell>
          <cell r="N51">
            <v>1200</v>
          </cell>
        </row>
        <row r="52">
          <cell r="B52" t="str">
            <v>קינסרט MS51830-203</v>
          </cell>
          <cell r="C52">
            <v>43163</v>
          </cell>
          <cell r="D52">
            <v>1</v>
          </cell>
          <cell r="E52" t="str">
            <v>קשיח</v>
          </cell>
          <cell r="F52" t="str">
            <v>01.0003</v>
          </cell>
          <cell r="G52">
            <v>46013</v>
          </cell>
          <cell r="H52" t="str">
            <v>01.0003</v>
          </cell>
          <cell r="I52" t="str">
            <v>גין מהנדסים בע"מ</v>
          </cell>
          <cell r="J52">
            <v>6.7</v>
          </cell>
          <cell r="K52" t="str">
            <v>₪</v>
          </cell>
          <cell r="L52">
            <v>800</v>
          </cell>
          <cell r="M52" t="str">
            <v>יח'</v>
          </cell>
          <cell r="N52">
            <v>5360</v>
          </cell>
        </row>
        <row r="53">
          <cell r="B53" t="str">
            <v>קינסרט MS51830-203</v>
          </cell>
          <cell r="C53">
            <v>43163</v>
          </cell>
          <cell r="D53">
            <v>2</v>
          </cell>
          <cell r="E53" t="str">
            <v>קשיח</v>
          </cell>
          <cell r="F53" t="str">
            <v>01.0003</v>
          </cell>
          <cell r="G53">
            <v>46013</v>
          </cell>
          <cell r="H53" t="str">
            <v>01.0003</v>
          </cell>
          <cell r="I53" t="str">
            <v>גין מהנדסים בע"מ</v>
          </cell>
          <cell r="J53">
            <v>6.7</v>
          </cell>
          <cell r="K53" t="str">
            <v>₪</v>
          </cell>
          <cell r="L53">
            <v>800</v>
          </cell>
          <cell r="M53" t="str">
            <v>יח'</v>
          </cell>
          <cell r="N53">
            <v>5360</v>
          </cell>
        </row>
        <row r="54">
          <cell r="B54" t="str">
            <v>MS51830-203/KN524J-76523, INSERT</v>
          </cell>
          <cell r="C54">
            <v>39605</v>
          </cell>
          <cell r="D54">
            <v>1</v>
          </cell>
          <cell r="E54" t="str">
            <v>קשיח</v>
          </cell>
          <cell r="F54" t="str">
            <v>01.0003</v>
          </cell>
          <cell r="G54">
            <v>45684</v>
          </cell>
          <cell r="H54" t="str">
            <v>01.0003</v>
          </cell>
          <cell r="I54" t="str">
            <v>דר טכנולוגיות בע"מ</v>
          </cell>
          <cell r="J54">
            <v>1.91</v>
          </cell>
          <cell r="K54" t="str">
            <v>$</v>
          </cell>
          <cell r="L54">
            <v>50</v>
          </cell>
          <cell r="M54" t="str">
            <v>יח'</v>
          </cell>
          <cell r="N54">
            <v>293.37600000000003</v>
          </cell>
        </row>
        <row r="55">
          <cell r="B55" t="str">
            <v>MS51830-203/KN524J-76523, INSERT</v>
          </cell>
          <cell r="C55">
            <v>39587</v>
          </cell>
          <cell r="D55">
            <v>2</v>
          </cell>
          <cell r="E55" t="str">
            <v>קשיח</v>
          </cell>
          <cell r="F55" t="str">
            <v>01.0003</v>
          </cell>
          <cell r="G55">
            <v>45683</v>
          </cell>
          <cell r="H55" t="str">
            <v>01.0003</v>
          </cell>
          <cell r="I55" t="str">
            <v>דר טכנולוגיות בע"מ</v>
          </cell>
          <cell r="J55">
            <v>1.91</v>
          </cell>
          <cell r="K55" t="str">
            <v>$</v>
          </cell>
          <cell r="L55">
            <v>1500</v>
          </cell>
          <cell r="M55" t="str">
            <v>יח'</v>
          </cell>
          <cell r="N55">
            <v>8801.2800000000007</v>
          </cell>
        </row>
        <row r="56">
          <cell r="B56" t="str">
            <v>MS51830-203/KN524J-76523, INSERT</v>
          </cell>
          <cell r="C56">
            <v>39587</v>
          </cell>
          <cell r="D56">
            <v>5</v>
          </cell>
          <cell r="E56" t="str">
            <v>קשיח</v>
          </cell>
          <cell r="F56" t="str">
            <v>01.0003</v>
          </cell>
          <cell r="G56">
            <v>45683</v>
          </cell>
          <cell r="H56" t="str">
            <v>01.0003</v>
          </cell>
          <cell r="I56" t="str">
            <v>דר טכנולוגיות בע"מ</v>
          </cell>
          <cell r="J56">
            <v>1.91</v>
          </cell>
          <cell r="K56" t="str">
            <v>$</v>
          </cell>
          <cell r="L56">
            <v>1375</v>
          </cell>
          <cell r="M56" t="str">
            <v>יח'</v>
          </cell>
          <cell r="N56">
            <v>8067.84</v>
          </cell>
        </row>
        <row r="57">
          <cell r="B57" t="str">
            <v>MS51830-203/KN524J-76523, INSERT</v>
          </cell>
          <cell r="C57">
            <v>39587</v>
          </cell>
          <cell r="D57">
            <v>8</v>
          </cell>
          <cell r="E57" t="str">
            <v>קשיח</v>
          </cell>
          <cell r="F57" t="str">
            <v>01.0003</v>
          </cell>
          <cell r="G57">
            <v>45683</v>
          </cell>
          <cell r="H57" t="str">
            <v>01.0003</v>
          </cell>
          <cell r="I57" t="str">
            <v>דר טכנולוגיות בע"מ</v>
          </cell>
          <cell r="J57">
            <v>1.91</v>
          </cell>
          <cell r="K57" t="str">
            <v>$</v>
          </cell>
          <cell r="L57">
            <v>1375</v>
          </cell>
          <cell r="M57" t="str">
            <v>יח'</v>
          </cell>
          <cell r="N57">
            <v>8067.84</v>
          </cell>
        </row>
        <row r="58">
          <cell r="B58" t="str">
            <v>קינסרט MS51830-203 402050089</v>
          </cell>
          <cell r="C58">
            <v>39547</v>
          </cell>
          <cell r="D58">
            <v>4</v>
          </cell>
          <cell r="E58" t="str">
            <v>קשיח</v>
          </cell>
          <cell r="F58" t="str">
            <v>01.0003</v>
          </cell>
          <cell r="G58">
            <v>45683</v>
          </cell>
          <cell r="H58" t="str">
            <v>01.0003</v>
          </cell>
          <cell r="I58" t="str">
            <v>לוונשטיין טכנולוגיות בע"מ</v>
          </cell>
          <cell r="J58">
            <v>6.8</v>
          </cell>
          <cell r="K58" t="str">
            <v>₪</v>
          </cell>
          <cell r="L58">
            <v>1766</v>
          </cell>
          <cell r="M58" t="str">
            <v>יח'</v>
          </cell>
          <cell r="N58">
            <v>12008.8</v>
          </cell>
        </row>
        <row r="59">
          <cell r="B59" t="str">
            <v>MS51830-203/KN524J-76523, INSERT</v>
          </cell>
          <cell r="C59">
            <v>39578</v>
          </cell>
          <cell r="D59">
            <v>1</v>
          </cell>
          <cell r="E59" t="str">
            <v>קשיח</v>
          </cell>
          <cell r="F59" t="str">
            <v>01.0003</v>
          </cell>
          <cell r="G59">
            <v>45680</v>
          </cell>
          <cell r="H59" t="str">
            <v>01.0003</v>
          </cell>
          <cell r="I59" t="str">
            <v>דר טכנולוגיות בע"מ</v>
          </cell>
          <cell r="J59">
            <v>1.91</v>
          </cell>
          <cell r="K59" t="str">
            <v>$</v>
          </cell>
          <cell r="L59">
            <v>50</v>
          </cell>
          <cell r="M59" t="str">
            <v>יח'</v>
          </cell>
          <cell r="N59">
            <v>293.37600000000003</v>
          </cell>
        </row>
        <row r="60">
          <cell r="B60" t="str">
            <v>MS51830-203/KN524J-76523, INSERT</v>
          </cell>
          <cell r="C60">
            <v>39483</v>
          </cell>
          <cell r="D60">
            <v>1</v>
          </cell>
          <cell r="E60" t="str">
            <v>קשיח</v>
          </cell>
          <cell r="F60" t="str">
            <v>01.0003</v>
          </cell>
          <cell r="G60">
            <v>45670</v>
          </cell>
          <cell r="H60" t="str">
            <v>01.0003</v>
          </cell>
          <cell r="I60" t="str">
            <v>דר טכנולוגיות בע"מ</v>
          </cell>
          <cell r="J60">
            <v>7</v>
          </cell>
          <cell r="K60" t="str">
            <v>₪</v>
          </cell>
          <cell r="L60">
            <v>50</v>
          </cell>
          <cell r="M60" t="str">
            <v>יח'</v>
          </cell>
          <cell r="N60">
            <v>350</v>
          </cell>
        </row>
        <row r="61">
          <cell r="B61" t="str">
            <v>MS51830-203/KN524J-76523, INSERT</v>
          </cell>
          <cell r="C61">
            <v>39368</v>
          </cell>
          <cell r="D61">
            <v>1</v>
          </cell>
          <cell r="E61" t="str">
            <v>קשיח</v>
          </cell>
          <cell r="F61" t="str">
            <v>01.0003</v>
          </cell>
          <cell r="G61">
            <v>45662</v>
          </cell>
          <cell r="H61" t="str">
            <v>01.0003</v>
          </cell>
          <cell r="I61" t="str">
            <v>דר טכנולוגיות בע"מ</v>
          </cell>
          <cell r="J61">
            <v>7</v>
          </cell>
          <cell r="K61" t="str">
            <v>₪</v>
          </cell>
          <cell r="L61">
            <v>120</v>
          </cell>
          <cell r="M61" t="str">
            <v>יח'</v>
          </cell>
          <cell r="N61">
            <v>840</v>
          </cell>
        </row>
        <row r="62">
          <cell r="B62" t="str">
            <v>MS51830-203/KN524J-76523, INSERT</v>
          </cell>
          <cell r="C62">
            <v>39368</v>
          </cell>
          <cell r="D62">
            <v>2</v>
          </cell>
          <cell r="E62" t="str">
            <v>קשיח</v>
          </cell>
          <cell r="F62" t="str">
            <v>01.0003</v>
          </cell>
          <cell r="G62">
            <v>45662</v>
          </cell>
          <cell r="H62" t="str">
            <v>01.0003</v>
          </cell>
          <cell r="I62" t="str">
            <v>דר טכנולוגיות בע"מ</v>
          </cell>
          <cell r="J62">
            <v>7</v>
          </cell>
          <cell r="K62" t="str">
            <v>₪</v>
          </cell>
          <cell r="L62">
            <v>80</v>
          </cell>
          <cell r="M62" t="str">
            <v>יח'</v>
          </cell>
          <cell r="N62">
            <v>560</v>
          </cell>
        </row>
        <row r="63">
          <cell r="B63" t="str">
            <v>MS51830-203/KN524J-76523, INSERT</v>
          </cell>
          <cell r="C63">
            <v>37164</v>
          </cell>
          <cell r="D63">
            <v>1</v>
          </cell>
          <cell r="E63" t="str">
            <v>קשיח</v>
          </cell>
          <cell r="F63" t="str">
            <v>01.0003</v>
          </cell>
          <cell r="G63">
            <v>45424</v>
          </cell>
          <cell r="H63" t="str">
            <v>01.0003</v>
          </cell>
          <cell r="I63" t="str">
            <v>דר טכנולוגיות בע"מ</v>
          </cell>
          <cell r="J63">
            <v>6.85</v>
          </cell>
          <cell r="K63" t="str">
            <v>₪</v>
          </cell>
          <cell r="L63">
            <v>500</v>
          </cell>
          <cell r="M63" t="str">
            <v>יח'</v>
          </cell>
          <cell r="N63">
            <v>3425</v>
          </cell>
        </row>
        <row r="64">
          <cell r="B64" t="str">
            <v>קינסרט MS51830-203</v>
          </cell>
          <cell r="C64">
            <v>35426</v>
          </cell>
          <cell r="D64">
            <v>3</v>
          </cell>
          <cell r="E64" t="str">
            <v>קשיח</v>
          </cell>
          <cell r="F64" t="str">
            <v>01.0003</v>
          </cell>
          <cell r="G64">
            <v>45229</v>
          </cell>
          <cell r="H64" t="str">
            <v>01.0003</v>
          </cell>
          <cell r="I64" t="str">
            <v>לוונשטיין טכנולוגיות בע"מ</v>
          </cell>
          <cell r="J64">
            <v>8.5</v>
          </cell>
          <cell r="K64" t="str">
            <v>₪</v>
          </cell>
          <cell r="L64">
            <v>500</v>
          </cell>
          <cell r="M64" t="str">
            <v>יח'</v>
          </cell>
          <cell r="N64">
            <v>4250</v>
          </cell>
        </row>
        <row r="65">
          <cell r="B65" t="str">
            <v>MS51830-203/KN524J-76523, INSERT</v>
          </cell>
          <cell r="C65">
            <v>31120</v>
          </cell>
          <cell r="D65">
            <v>1</v>
          </cell>
          <cell r="E65" t="str">
            <v>קשיח</v>
          </cell>
          <cell r="F65" t="str">
            <v>01.0003</v>
          </cell>
          <cell r="G65">
            <v>44640</v>
          </cell>
          <cell r="H65" t="str">
            <v>01.0003</v>
          </cell>
          <cell r="I65" t="str">
            <v>גין מהנדסים בע"מ</v>
          </cell>
          <cell r="J65">
            <v>5.5</v>
          </cell>
          <cell r="K65" t="str">
            <v>₪</v>
          </cell>
          <cell r="L65">
            <v>500</v>
          </cell>
          <cell r="M65" t="str">
            <v>יח'</v>
          </cell>
          <cell r="N65">
            <v>2750</v>
          </cell>
        </row>
        <row r="66">
          <cell r="B66" t="str">
            <v>קינסרט MS51830-203</v>
          </cell>
          <cell r="C66">
            <v>28159</v>
          </cell>
          <cell r="D66">
            <v>1</v>
          </cell>
          <cell r="E66" t="str">
            <v>קשיח</v>
          </cell>
          <cell r="F66" t="str">
            <v>01.0003</v>
          </cell>
          <cell r="G66">
            <v>44237</v>
          </cell>
          <cell r="H66" t="str">
            <v>01.0003</v>
          </cell>
          <cell r="I66" t="str">
            <v>גין מהנדסים בע"מ</v>
          </cell>
          <cell r="J66">
            <v>5.2</v>
          </cell>
          <cell r="K66" t="str">
            <v>₪</v>
          </cell>
          <cell r="L66">
            <v>500</v>
          </cell>
          <cell r="M66" t="str">
            <v>יח'</v>
          </cell>
          <cell r="N66">
            <v>2600</v>
          </cell>
        </row>
        <row r="67">
          <cell r="B67" t="str">
            <v>קינסרט MS51830-203</v>
          </cell>
          <cell r="C67">
            <v>23237</v>
          </cell>
          <cell r="D67">
            <v>1</v>
          </cell>
          <cell r="E67" t="str">
            <v>קשיח</v>
          </cell>
          <cell r="F67" t="str">
            <v>01.0003</v>
          </cell>
          <cell r="G67">
            <v>43541</v>
          </cell>
          <cell r="H67" t="str">
            <v>01.0003</v>
          </cell>
          <cell r="I67" t="str">
            <v>גין מהנדסים בע"מ</v>
          </cell>
          <cell r="J67">
            <v>5.4</v>
          </cell>
          <cell r="K67" t="str">
            <v>₪</v>
          </cell>
          <cell r="L67">
            <v>960</v>
          </cell>
          <cell r="M67" t="str">
            <v>יח'</v>
          </cell>
          <cell r="N67">
            <v>5184</v>
          </cell>
        </row>
        <row r="68">
          <cell r="B68" t="str">
            <v>קינסרט MS51830-203</v>
          </cell>
          <cell r="C68">
            <v>19146</v>
          </cell>
          <cell r="D68">
            <v>1</v>
          </cell>
          <cell r="E68" t="str">
            <v>קשיח</v>
          </cell>
          <cell r="F68" t="str">
            <v>01.0003</v>
          </cell>
          <cell r="G68">
            <v>43153</v>
          </cell>
          <cell r="H68" t="str">
            <v>01.0003</v>
          </cell>
          <cell r="I68" t="str">
            <v>גין מהנדסים בע"מ</v>
          </cell>
          <cell r="J68">
            <v>8</v>
          </cell>
          <cell r="K68" t="str">
            <v>₪</v>
          </cell>
          <cell r="M68" t="str">
            <v>יח'</v>
          </cell>
        </row>
        <row r="69">
          <cell r="B69" t="str">
            <v/>
          </cell>
          <cell r="C69">
            <v>2691</v>
          </cell>
          <cell r="D69">
            <v>1</v>
          </cell>
          <cell r="E69" t="str">
            <v>קשיח</v>
          </cell>
          <cell r="F69" t="str">
            <v>01.0003</v>
          </cell>
          <cell r="G69">
            <v>41410</v>
          </cell>
          <cell r="H69" t="str">
            <v>01.0003</v>
          </cell>
          <cell r="I69" t="str">
            <v/>
          </cell>
          <cell r="J69">
            <v>5.1779999999999999</v>
          </cell>
          <cell r="K69" t="str">
            <v>₪</v>
          </cell>
          <cell r="M69" t="str">
            <v>יח'</v>
          </cell>
        </row>
        <row r="70">
          <cell r="B70" t="str">
            <v>קינסרט MS51830-203 402050089</v>
          </cell>
          <cell r="C70">
            <v>2655</v>
          </cell>
          <cell r="D70">
            <v>1</v>
          </cell>
          <cell r="E70" t="str">
            <v>קשיח</v>
          </cell>
          <cell r="F70" t="str">
            <v>01.0003</v>
          </cell>
          <cell r="G70">
            <v>41406</v>
          </cell>
          <cell r="H70" t="str">
            <v>01.0003</v>
          </cell>
          <cell r="I70" t="str">
            <v>מלאי מקומי בע"מ</v>
          </cell>
          <cell r="J70">
            <v>5</v>
          </cell>
          <cell r="K70" t="str">
            <v>₪</v>
          </cell>
          <cell r="L70">
            <v>500</v>
          </cell>
          <cell r="M70" t="str">
            <v>יח'</v>
          </cell>
          <cell r="N70">
            <v>2500</v>
          </cell>
        </row>
        <row r="71">
          <cell r="B71" t="str">
            <v>MS51830-203, INSERT KEY-LOCKED 5/16-24 N/L</v>
          </cell>
          <cell r="C71">
            <v>2655</v>
          </cell>
          <cell r="D71">
            <v>5</v>
          </cell>
          <cell r="E71" t="str">
            <v>קשיח</v>
          </cell>
          <cell r="F71" t="str">
            <v>01.0003</v>
          </cell>
          <cell r="G71">
            <v>41406</v>
          </cell>
          <cell r="H71" t="str">
            <v>01.0003</v>
          </cell>
          <cell r="I71" t="str">
            <v>מלאי מקומי בע"מ</v>
          </cell>
          <cell r="K71" t="str">
            <v>₪</v>
          </cell>
          <cell r="L71">
            <v>500</v>
          </cell>
          <cell r="M71" t="str">
            <v>יח'</v>
          </cell>
        </row>
        <row r="72">
          <cell r="B72" t="str">
            <v>קינסרט MS51830-203 402050089</v>
          </cell>
          <cell r="C72">
            <v>2006</v>
          </cell>
          <cell r="D72">
            <v>1</v>
          </cell>
          <cell r="E72" t="str">
            <v>קשיח</v>
          </cell>
          <cell r="F72" t="str">
            <v>01.0003</v>
          </cell>
          <cell r="G72">
            <v>41322</v>
          </cell>
          <cell r="H72" t="str">
            <v>01.0003</v>
          </cell>
          <cell r="I72" t="str">
            <v>מלאי מקומי בע"מ</v>
          </cell>
          <cell r="J72">
            <v>5.3575999999999997</v>
          </cell>
          <cell r="K72" t="str">
            <v>₪</v>
          </cell>
          <cell r="M72" t="str">
            <v>יח'</v>
          </cell>
        </row>
        <row r="73">
          <cell r="B73" t="str">
            <v>קינסרט MS51830-203</v>
          </cell>
          <cell r="C73">
            <v>1772</v>
          </cell>
          <cell r="D73">
            <v>1</v>
          </cell>
          <cell r="E73" t="str">
            <v>קשיח</v>
          </cell>
          <cell r="F73" t="str">
            <v>01.0003</v>
          </cell>
          <cell r="G73">
            <v>41294</v>
          </cell>
          <cell r="H73" t="str">
            <v>01.0003</v>
          </cell>
          <cell r="I73" t="str">
            <v>KAYTECH INDUSTRIES CORP</v>
          </cell>
          <cell r="J73">
            <v>1.4531000000000001</v>
          </cell>
          <cell r="K73" t="str">
            <v>$</v>
          </cell>
          <cell r="L73">
            <v>1000</v>
          </cell>
          <cell r="M73" t="str">
            <v>יח'</v>
          </cell>
          <cell r="N73">
            <v>4463.9232000000002</v>
          </cell>
        </row>
        <row r="74">
          <cell r="B74" t="str">
            <v>קינסרט MS51830-203</v>
          </cell>
          <cell r="C74">
            <v>1405</v>
          </cell>
          <cell r="D74">
            <v>1</v>
          </cell>
          <cell r="E74" t="str">
            <v>קשיח</v>
          </cell>
          <cell r="F74" t="str">
            <v>01.0003</v>
          </cell>
          <cell r="G74">
            <v>41252</v>
          </cell>
          <cell r="H74" t="str">
            <v>01.0003</v>
          </cell>
          <cell r="I74" t="str">
            <v>לוונשטיין טכנולוגיות</v>
          </cell>
          <cell r="J74">
            <v>1.45</v>
          </cell>
          <cell r="K74" t="str">
            <v>$</v>
          </cell>
          <cell r="L74">
            <v>2400</v>
          </cell>
          <cell r="M74" t="str">
            <v>יח'</v>
          </cell>
          <cell r="N74">
            <v>10690.56</v>
          </cell>
        </row>
        <row r="75">
          <cell r="B75" t="str">
            <v>קינסרט MS51830-203</v>
          </cell>
          <cell r="C75">
            <v>1388</v>
          </cell>
          <cell r="D75">
            <v>1</v>
          </cell>
          <cell r="E75" t="str">
            <v>קשיח</v>
          </cell>
          <cell r="F75" t="str">
            <v>01.0003</v>
          </cell>
          <cell r="G75">
            <v>41248</v>
          </cell>
          <cell r="H75" t="str">
            <v>01.0003</v>
          </cell>
          <cell r="I75" t="str">
            <v>גין מהנדסים בע"מ</v>
          </cell>
          <cell r="J75">
            <v>1.52</v>
          </cell>
          <cell r="K75" t="str">
            <v>$</v>
          </cell>
          <cell r="L75">
            <v>1000</v>
          </cell>
          <cell r="M75" t="str">
            <v>יח'</v>
          </cell>
          <cell r="N75">
            <v>4669.4400000000005</v>
          </cell>
        </row>
        <row r="76">
          <cell r="B76" t="str">
            <v>קינסרט MS51830-203</v>
          </cell>
          <cell r="C76">
            <v>1333</v>
          </cell>
          <cell r="D76">
            <v>2</v>
          </cell>
          <cell r="E76" t="str">
            <v>קשיח</v>
          </cell>
          <cell r="F76" t="str">
            <v>01.0003</v>
          </cell>
          <cell r="G76">
            <v>41241</v>
          </cell>
          <cell r="H76" t="str">
            <v>01.0003</v>
          </cell>
          <cell r="I76" t="str">
            <v>לוונשטיין טכנולוגיות</v>
          </cell>
          <cell r="J76">
            <v>1.78</v>
          </cell>
          <cell r="K76" t="str">
            <v>$</v>
          </cell>
          <cell r="L76">
            <v>500</v>
          </cell>
          <cell r="M76" t="str">
            <v>יח'</v>
          </cell>
          <cell r="N76">
            <v>2734.08</v>
          </cell>
        </row>
        <row r="77">
          <cell r="B77" t="str">
            <v>קינסרט MS51830-203</v>
          </cell>
          <cell r="C77">
            <v>1335</v>
          </cell>
          <cell r="D77">
            <v>1</v>
          </cell>
          <cell r="E77" t="str">
            <v>קשיח</v>
          </cell>
          <cell r="F77" t="str">
            <v>01.0003</v>
          </cell>
          <cell r="G77">
            <v>41241</v>
          </cell>
          <cell r="H77" t="str">
            <v>01.0003</v>
          </cell>
          <cell r="I77" t="str">
            <v>לוונשטיין טכנולוגיות</v>
          </cell>
          <cell r="J77">
            <v>1.45</v>
          </cell>
          <cell r="K77" t="str">
            <v>$</v>
          </cell>
          <cell r="L77">
            <v>1000</v>
          </cell>
          <cell r="M77" t="str">
            <v>יח'</v>
          </cell>
          <cell r="N77">
            <v>4454.4000000000005</v>
          </cell>
        </row>
        <row r="78">
          <cell r="B78" t="str">
            <v>קינסרט MS51830-203</v>
          </cell>
          <cell r="C78">
            <v>620</v>
          </cell>
          <cell r="D78">
            <v>1</v>
          </cell>
          <cell r="E78" t="str">
            <v>קשיח</v>
          </cell>
          <cell r="F78" t="str">
            <v>01.0003</v>
          </cell>
          <cell r="G78">
            <v>41143</v>
          </cell>
          <cell r="H78" t="str">
            <v>01.0003</v>
          </cell>
          <cell r="I78" t="str">
            <v>גין מהנדסים בע"מ</v>
          </cell>
          <cell r="J78">
            <v>8</v>
          </cell>
          <cell r="K78" t="str">
            <v>₪</v>
          </cell>
          <cell r="L78">
            <v>50</v>
          </cell>
          <cell r="M78" t="str">
            <v>יח'</v>
          </cell>
          <cell r="N78">
            <v>400</v>
          </cell>
        </row>
        <row r="79">
          <cell r="B79" t="str">
            <v>קינסרט MS51830-203</v>
          </cell>
          <cell r="C79">
            <v>389</v>
          </cell>
          <cell r="D79">
            <v>1</v>
          </cell>
          <cell r="E79" t="str">
            <v>קשיח</v>
          </cell>
          <cell r="F79" t="str">
            <v>01.0003</v>
          </cell>
          <cell r="G79">
            <v>41122</v>
          </cell>
          <cell r="H79" t="str">
            <v>01.0003</v>
          </cell>
          <cell r="I79" t="str">
            <v>גין מהנדסים בע"מ</v>
          </cell>
          <cell r="J79">
            <v>8</v>
          </cell>
          <cell r="K79" t="str">
            <v>₪</v>
          </cell>
          <cell r="L79">
            <v>50</v>
          </cell>
          <cell r="M79" t="str">
            <v>יח'</v>
          </cell>
          <cell r="N79">
            <v>400</v>
          </cell>
        </row>
        <row r="80">
          <cell r="B80" t="str">
            <v>קינסרט MS51830-203</v>
          </cell>
          <cell r="C80">
            <v>177</v>
          </cell>
          <cell r="D80">
            <v>1</v>
          </cell>
          <cell r="E80" t="str">
            <v>קשיח</v>
          </cell>
          <cell r="F80" t="str">
            <v>01.0003</v>
          </cell>
          <cell r="G80">
            <v>41094</v>
          </cell>
          <cell r="H80" t="str">
            <v>01.0003</v>
          </cell>
          <cell r="I80" t="str">
            <v>גין מהנדסים בע"מ</v>
          </cell>
          <cell r="J80">
            <v>8</v>
          </cell>
          <cell r="K80" t="str">
            <v>₪</v>
          </cell>
          <cell r="L80">
            <v>450</v>
          </cell>
          <cell r="M80" t="str">
            <v>יח'</v>
          </cell>
          <cell r="N80">
            <v>3600</v>
          </cell>
        </row>
        <row r="81">
          <cell r="B81" t="str">
            <v>KEENSERT MS51830-201</v>
          </cell>
          <cell r="C81">
            <v>44812</v>
          </cell>
          <cell r="D81">
            <v>2</v>
          </cell>
          <cell r="E81" t="str">
            <v>קשיח</v>
          </cell>
          <cell r="F81" t="str">
            <v>01.0004</v>
          </cell>
          <cell r="G81">
            <v>46064</v>
          </cell>
          <cell r="H81" t="str">
            <v>01.0004</v>
          </cell>
          <cell r="I81" t="str">
            <v>ברמיל בע"מ</v>
          </cell>
          <cell r="J81">
            <v>5.4</v>
          </cell>
          <cell r="K81" t="str">
            <v>₪</v>
          </cell>
          <cell r="L81">
            <v>400</v>
          </cell>
          <cell r="M81" t="str">
            <v>יח'</v>
          </cell>
          <cell r="N81">
            <v>2160</v>
          </cell>
        </row>
        <row r="82">
          <cell r="B82" t="str">
            <v>KEENSERT MS51830-201</v>
          </cell>
          <cell r="C82">
            <v>43163</v>
          </cell>
          <cell r="D82">
            <v>13</v>
          </cell>
          <cell r="E82" t="str">
            <v>קשיח</v>
          </cell>
          <cell r="F82" t="str">
            <v>01.0004</v>
          </cell>
          <cell r="G82">
            <v>46013</v>
          </cell>
          <cell r="H82" t="str">
            <v>01.0004</v>
          </cell>
          <cell r="I82" t="str">
            <v>גין מהנדסים בע"מ</v>
          </cell>
          <cell r="J82">
            <v>5.4</v>
          </cell>
          <cell r="K82" t="str">
            <v>₪</v>
          </cell>
          <cell r="L82">
            <v>200</v>
          </cell>
          <cell r="M82" t="str">
            <v>יח'</v>
          </cell>
          <cell r="N82">
            <v>1080</v>
          </cell>
        </row>
        <row r="83">
          <cell r="B83" t="str">
            <v>KEENSERT MS51830-201</v>
          </cell>
          <cell r="C83">
            <v>43163</v>
          </cell>
          <cell r="D83">
            <v>14</v>
          </cell>
          <cell r="E83" t="str">
            <v>קשיח</v>
          </cell>
          <cell r="F83" t="str">
            <v>01.0004</v>
          </cell>
          <cell r="G83">
            <v>46013</v>
          </cell>
          <cell r="H83" t="str">
            <v>01.0004</v>
          </cell>
          <cell r="I83" t="str">
            <v>גין מהנדסים בע"מ</v>
          </cell>
          <cell r="J83">
            <v>5.4</v>
          </cell>
          <cell r="K83" t="str">
            <v>₪</v>
          </cell>
          <cell r="L83">
            <v>200</v>
          </cell>
          <cell r="M83" t="str">
            <v>יח'</v>
          </cell>
          <cell r="N83">
            <v>1080</v>
          </cell>
        </row>
        <row r="84">
          <cell r="B84" t="str">
            <v>KEENSERT MS51830-201</v>
          </cell>
          <cell r="C84">
            <v>42690</v>
          </cell>
          <cell r="D84">
            <v>3</v>
          </cell>
          <cell r="E84" t="str">
            <v>קשיח</v>
          </cell>
          <cell r="F84" t="str">
            <v>01.0004</v>
          </cell>
          <cell r="G84">
            <v>45977</v>
          </cell>
          <cell r="H84" t="str">
            <v>01.0004</v>
          </cell>
          <cell r="I84" t="str">
            <v>גין מהנדסים בע"מ</v>
          </cell>
          <cell r="J84">
            <v>5.23</v>
          </cell>
          <cell r="K84" t="str">
            <v>₪</v>
          </cell>
          <cell r="L84">
            <v>300</v>
          </cell>
          <cell r="M84" t="str">
            <v>יח'</v>
          </cell>
          <cell r="N84">
            <v>1569.0000000000002</v>
          </cell>
        </row>
        <row r="85">
          <cell r="B85" t="str">
            <v>MS51830-201, Keensert 10-32 N/L</v>
          </cell>
          <cell r="C85">
            <v>42141</v>
          </cell>
          <cell r="D85">
            <v>1</v>
          </cell>
          <cell r="E85" t="str">
            <v>קשיח</v>
          </cell>
          <cell r="F85" t="str">
            <v>01.0004</v>
          </cell>
          <cell r="G85">
            <v>45917</v>
          </cell>
          <cell r="H85" t="str">
            <v>01.0004</v>
          </cell>
          <cell r="I85" t="str">
            <v>דר טכנולוגיות בע"מ</v>
          </cell>
          <cell r="J85">
            <v>6.3</v>
          </cell>
          <cell r="K85" t="str">
            <v>₪</v>
          </cell>
          <cell r="L85">
            <v>500</v>
          </cell>
          <cell r="M85" t="str">
            <v>יח'</v>
          </cell>
          <cell r="N85">
            <v>3150</v>
          </cell>
        </row>
        <row r="86">
          <cell r="B86" t="str">
            <v>KEENSERT MS51830-201</v>
          </cell>
          <cell r="C86">
            <v>41863</v>
          </cell>
          <cell r="D86">
            <v>2</v>
          </cell>
          <cell r="E86" t="str">
            <v>קשיח</v>
          </cell>
          <cell r="F86" t="str">
            <v>01.0004</v>
          </cell>
          <cell r="G86">
            <v>45887</v>
          </cell>
          <cell r="H86" t="str">
            <v>01.0004</v>
          </cell>
          <cell r="I86" t="str">
            <v>גין מהנדסים בע"מ</v>
          </cell>
          <cell r="J86">
            <v>5.4</v>
          </cell>
          <cell r="K86" t="str">
            <v>₪</v>
          </cell>
          <cell r="L86">
            <v>200</v>
          </cell>
          <cell r="M86" t="str">
            <v>יח'</v>
          </cell>
          <cell r="N86">
            <v>1080</v>
          </cell>
        </row>
        <row r="87">
          <cell r="B87" t="str">
            <v>KEENSERT MS51830-201</v>
          </cell>
          <cell r="C87">
            <v>41775</v>
          </cell>
          <cell r="D87">
            <v>1</v>
          </cell>
          <cell r="E87" t="str">
            <v>קשיח</v>
          </cell>
          <cell r="F87" t="str">
            <v>01.0004</v>
          </cell>
          <cell r="G87">
            <v>45881</v>
          </cell>
          <cell r="H87" t="str">
            <v>01.0004</v>
          </cell>
          <cell r="I87" t="str">
            <v>גין מהנדסים בע"מ</v>
          </cell>
          <cell r="J87">
            <v>5.2249999999999996</v>
          </cell>
          <cell r="K87" t="str">
            <v>₪</v>
          </cell>
          <cell r="L87">
            <v>150</v>
          </cell>
          <cell r="M87" t="str">
            <v>יח'</v>
          </cell>
          <cell r="N87">
            <v>783.75</v>
          </cell>
        </row>
        <row r="88">
          <cell r="B88" t="str">
            <v>KEENSERT MS51830-201</v>
          </cell>
          <cell r="C88">
            <v>41775</v>
          </cell>
          <cell r="D88">
            <v>2</v>
          </cell>
          <cell r="E88" t="str">
            <v>קשיח</v>
          </cell>
          <cell r="F88" t="str">
            <v>01.0004</v>
          </cell>
          <cell r="G88">
            <v>45881</v>
          </cell>
          <cell r="H88" t="str">
            <v>01.0004</v>
          </cell>
          <cell r="I88" t="str">
            <v>גין מהנדסים בע"מ</v>
          </cell>
          <cell r="J88">
            <v>5.2249999999999996</v>
          </cell>
          <cell r="K88" t="str">
            <v>₪</v>
          </cell>
          <cell r="L88">
            <v>150</v>
          </cell>
          <cell r="M88" t="str">
            <v>יח'</v>
          </cell>
          <cell r="N88">
            <v>783.75</v>
          </cell>
        </row>
        <row r="89">
          <cell r="B89" t="str">
            <v>KEENSERT MS51830-201</v>
          </cell>
          <cell r="C89">
            <v>41775</v>
          </cell>
          <cell r="D89">
            <v>3</v>
          </cell>
          <cell r="E89" t="str">
            <v>קשיח</v>
          </cell>
          <cell r="F89" t="str">
            <v>01.0004</v>
          </cell>
          <cell r="G89">
            <v>45881</v>
          </cell>
          <cell r="H89" t="str">
            <v>01.0004</v>
          </cell>
          <cell r="I89" t="str">
            <v>גין מהנדסים בע"מ</v>
          </cell>
          <cell r="J89">
            <v>5.2249999999999996</v>
          </cell>
          <cell r="K89" t="str">
            <v>₪</v>
          </cell>
          <cell r="L89">
            <v>120</v>
          </cell>
          <cell r="M89" t="str">
            <v>יח'</v>
          </cell>
          <cell r="N89">
            <v>627</v>
          </cell>
        </row>
        <row r="90">
          <cell r="B90" t="str">
            <v>KEENSERT MS51830-201</v>
          </cell>
          <cell r="C90">
            <v>41775</v>
          </cell>
          <cell r="D90">
            <v>4</v>
          </cell>
          <cell r="E90" t="str">
            <v>קשיח</v>
          </cell>
          <cell r="F90" t="str">
            <v>01.0004</v>
          </cell>
          <cell r="G90">
            <v>45881</v>
          </cell>
          <cell r="H90" t="str">
            <v>01.0004</v>
          </cell>
          <cell r="I90" t="str">
            <v>גין מהנדסים בע"מ</v>
          </cell>
          <cell r="J90">
            <v>5.2249999999999996</v>
          </cell>
          <cell r="K90" t="str">
            <v>₪</v>
          </cell>
          <cell r="L90">
            <v>120</v>
          </cell>
          <cell r="M90" t="str">
            <v>יח'</v>
          </cell>
          <cell r="N90">
            <v>627</v>
          </cell>
        </row>
        <row r="91">
          <cell r="B91" t="str">
            <v>KEENSERT MS51830-201</v>
          </cell>
          <cell r="C91">
            <v>41775</v>
          </cell>
          <cell r="D91">
            <v>5</v>
          </cell>
          <cell r="E91" t="str">
            <v>קשיח</v>
          </cell>
          <cell r="F91" t="str">
            <v>01.0004</v>
          </cell>
          <cell r="G91">
            <v>45881</v>
          </cell>
          <cell r="H91" t="str">
            <v>01.0004</v>
          </cell>
          <cell r="I91" t="str">
            <v>גין מהנדסים בע"מ</v>
          </cell>
          <cell r="J91">
            <v>5.2249999999999996</v>
          </cell>
          <cell r="K91" t="str">
            <v>₪</v>
          </cell>
          <cell r="L91">
            <v>120</v>
          </cell>
          <cell r="M91" t="str">
            <v>יח'</v>
          </cell>
          <cell r="N91">
            <v>627</v>
          </cell>
        </row>
        <row r="92">
          <cell r="B92" t="str">
            <v>KEENSERT MS51830-201</v>
          </cell>
          <cell r="C92">
            <v>41775</v>
          </cell>
          <cell r="D92">
            <v>6</v>
          </cell>
          <cell r="E92" t="str">
            <v>קשיח</v>
          </cell>
          <cell r="F92" t="str">
            <v>01.0004</v>
          </cell>
          <cell r="G92">
            <v>45881</v>
          </cell>
          <cell r="H92" t="str">
            <v>01.0004</v>
          </cell>
          <cell r="I92" t="str">
            <v>גין מהנדסים בע"מ</v>
          </cell>
          <cell r="J92">
            <v>5.2249999999999996</v>
          </cell>
          <cell r="K92" t="str">
            <v>₪</v>
          </cell>
          <cell r="L92">
            <v>120</v>
          </cell>
          <cell r="M92" t="str">
            <v>יח'</v>
          </cell>
          <cell r="N92">
            <v>627</v>
          </cell>
        </row>
        <row r="93">
          <cell r="B93" t="str">
            <v>KEENSERT MS51830-201</v>
          </cell>
          <cell r="C93">
            <v>41728</v>
          </cell>
          <cell r="D93">
            <v>1</v>
          </cell>
          <cell r="E93" t="str">
            <v>קשיח</v>
          </cell>
          <cell r="F93" t="str">
            <v>01.0004</v>
          </cell>
          <cell r="G93">
            <v>45875</v>
          </cell>
          <cell r="H93" t="str">
            <v>01.0004</v>
          </cell>
          <cell r="I93" t="str">
            <v>גין מהנדסים בע"מ</v>
          </cell>
          <cell r="J93">
            <v>5.2249999999999996</v>
          </cell>
          <cell r="K93" t="str">
            <v>₪</v>
          </cell>
          <cell r="L93">
            <v>650</v>
          </cell>
          <cell r="M93" t="str">
            <v>יח'</v>
          </cell>
          <cell r="N93">
            <v>3396.2499999999995</v>
          </cell>
        </row>
        <row r="94">
          <cell r="B94" t="str">
            <v>KEENSERT MS51830-201</v>
          </cell>
          <cell r="C94">
            <v>41728</v>
          </cell>
          <cell r="D94">
            <v>2</v>
          </cell>
          <cell r="E94" t="str">
            <v>קשיח</v>
          </cell>
          <cell r="F94" t="str">
            <v>01.0004</v>
          </cell>
          <cell r="G94">
            <v>45875</v>
          </cell>
          <cell r="H94" t="str">
            <v>01.0004</v>
          </cell>
          <cell r="I94" t="str">
            <v>גין מהנדסים בע"מ</v>
          </cell>
          <cell r="J94">
            <v>5.2249999999999996</v>
          </cell>
          <cell r="K94" t="str">
            <v>₪</v>
          </cell>
          <cell r="L94">
            <v>650</v>
          </cell>
          <cell r="M94" t="str">
            <v>יח'</v>
          </cell>
          <cell r="N94">
            <v>3396.2499999999995</v>
          </cell>
        </row>
        <row r="95">
          <cell r="B95" t="str">
            <v>KEENSERT MS51830-201</v>
          </cell>
          <cell r="C95">
            <v>41728</v>
          </cell>
          <cell r="D95">
            <v>3</v>
          </cell>
          <cell r="E95" t="str">
            <v>קשיח</v>
          </cell>
          <cell r="F95" t="str">
            <v>01.0004</v>
          </cell>
          <cell r="G95">
            <v>45875</v>
          </cell>
          <cell r="H95" t="str">
            <v>01.0004</v>
          </cell>
          <cell r="I95" t="str">
            <v>גין מהנדסים בע"מ</v>
          </cell>
          <cell r="J95">
            <v>5.2249999999999996</v>
          </cell>
          <cell r="K95" t="str">
            <v>₪</v>
          </cell>
          <cell r="L95">
            <v>600</v>
          </cell>
          <cell r="M95" t="str">
            <v>יח'</v>
          </cell>
          <cell r="N95">
            <v>3135</v>
          </cell>
        </row>
        <row r="96">
          <cell r="B96" t="str">
            <v>MS51830-201, Keensert 10-32 N/L</v>
          </cell>
          <cell r="C96">
            <v>41464</v>
          </cell>
          <cell r="D96">
            <v>1</v>
          </cell>
          <cell r="E96" t="str">
            <v>קשיח</v>
          </cell>
          <cell r="F96" t="str">
            <v>01.0004</v>
          </cell>
          <cell r="G96">
            <v>45853</v>
          </cell>
          <cell r="H96" t="str">
            <v>01.0004</v>
          </cell>
          <cell r="I96" t="str">
            <v>דר טכנולוגיות בע"מ</v>
          </cell>
          <cell r="J96">
            <v>1.55</v>
          </cell>
          <cell r="K96" t="str">
            <v>$</v>
          </cell>
          <cell r="L96">
            <v>16</v>
          </cell>
          <cell r="M96" t="str">
            <v>יח'</v>
          </cell>
          <cell r="N96">
            <v>76.185600000000008</v>
          </cell>
        </row>
        <row r="97">
          <cell r="B97" t="str">
            <v>MS51830-201, Keensert 10-32 N/L</v>
          </cell>
          <cell r="C97">
            <v>41464</v>
          </cell>
          <cell r="D97">
            <v>2</v>
          </cell>
          <cell r="E97" t="str">
            <v>קשיח</v>
          </cell>
          <cell r="F97" t="str">
            <v>01.0004</v>
          </cell>
          <cell r="G97">
            <v>45853</v>
          </cell>
          <cell r="H97" t="str">
            <v>01.0004</v>
          </cell>
          <cell r="I97" t="str">
            <v>דר טכנולוגיות בע"מ</v>
          </cell>
          <cell r="J97">
            <v>1.55</v>
          </cell>
          <cell r="K97" t="str">
            <v>$</v>
          </cell>
          <cell r="L97">
            <v>16</v>
          </cell>
          <cell r="M97" t="str">
            <v>יח'</v>
          </cell>
          <cell r="N97">
            <v>76.185600000000008</v>
          </cell>
        </row>
        <row r="98">
          <cell r="B98" t="str">
            <v>MS51830-201, Keensert 10-32 N/L</v>
          </cell>
          <cell r="C98">
            <v>41464</v>
          </cell>
          <cell r="D98">
            <v>3</v>
          </cell>
          <cell r="E98" t="str">
            <v>קשיח</v>
          </cell>
          <cell r="F98" t="str">
            <v>01.0004</v>
          </cell>
          <cell r="G98">
            <v>45853</v>
          </cell>
          <cell r="H98" t="str">
            <v>01.0004</v>
          </cell>
          <cell r="I98" t="str">
            <v>דר טכנולוגיות בע"מ</v>
          </cell>
          <cell r="J98">
            <v>1.55</v>
          </cell>
          <cell r="K98" t="str">
            <v>$</v>
          </cell>
          <cell r="L98">
            <v>24</v>
          </cell>
          <cell r="M98" t="str">
            <v>יח'</v>
          </cell>
          <cell r="N98">
            <v>114.2784</v>
          </cell>
        </row>
        <row r="99">
          <cell r="B99" t="str">
            <v>MS51830-201, Keensert 10-32 N/L</v>
          </cell>
          <cell r="C99">
            <v>41464</v>
          </cell>
          <cell r="D99">
            <v>4</v>
          </cell>
          <cell r="E99" t="str">
            <v>קשיח</v>
          </cell>
          <cell r="F99" t="str">
            <v>01.0004</v>
          </cell>
          <cell r="G99">
            <v>45853</v>
          </cell>
          <cell r="H99" t="str">
            <v>01.0004</v>
          </cell>
          <cell r="I99" t="str">
            <v>דר טכנולוגיות בע"מ</v>
          </cell>
          <cell r="J99">
            <v>1.55</v>
          </cell>
          <cell r="K99" t="str">
            <v>$</v>
          </cell>
          <cell r="L99">
            <v>8</v>
          </cell>
          <cell r="M99" t="str">
            <v>יח'</v>
          </cell>
          <cell r="N99">
            <v>38.092800000000004</v>
          </cell>
        </row>
        <row r="100">
          <cell r="B100" t="str">
            <v>MS51830-201, Keensert 10-32 N/L</v>
          </cell>
          <cell r="C100">
            <v>41464</v>
          </cell>
          <cell r="D100">
            <v>5</v>
          </cell>
          <cell r="E100" t="str">
            <v>קשיח</v>
          </cell>
          <cell r="F100" t="str">
            <v>01.0004</v>
          </cell>
          <cell r="G100">
            <v>45853</v>
          </cell>
          <cell r="H100" t="str">
            <v>01.0004</v>
          </cell>
          <cell r="I100" t="str">
            <v>דר טכנולוגיות בע"מ</v>
          </cell>
          <cell r="J100">
            <v>1.55</v>
          </cell>
          <cell r="K100" t="str">
            <v>$</v>
          </cell>
          <cell r="L100">
            <v>16</v>
          </cell>
          <cell r="M100" t="str">
            <v>יח'</v>
          </cell>
          <cell r="N100">
            <v>76.185600000000008</v>
          </cell>
        </row>
        <row r="101">
          <cell r="B101" t="str">
            <v>MS51830-201, Keensert 10-32 N/L</v>
          </cell>
          <cell r="C101">
            <v>41131</v>
          </cell>
          <cell r="D101">
            <v>4</v>
          </cell>
          <cell r="E101" t="str">
            <v>קשיח</v>
          </cell>
          <cell r="F101" t="str">
            <v>01.0004</v>
          </cell>
          <cell r="G101">
            <v>45818</v>
          </cell>
          <cell r="H101" t="str">
            <v>01.0004</v>
          </cell>
          <cell r="I101" t="str">
            <v>דר טכנולוגיות בע"מ</v>
          </cell>
          <cell r="J101">
            <v>1.4690000000000001</v>
          </cell>
          <cell r="K101" t="str">
            <v>$</v>
          </cell>
          <cell r="L101">
            <v>100</v>
          </cell>
          <cell r="M101" t="str">
            <v>יח'</v>
          </cell>
          <cell r="N101">
            <v>451.27680000000004</v>
          </cell>
        </row>
        <row r="102">
          <cell r="B102" t="str">
            <v>MS51830-201, Keensert 10-32 N/L</v>
          </cell>
          <cell r="C102">
            <v>40562</v>
          </cell>
          <cell r="D102">
            <v>1</v>
          </cell>
          <cell r="E102" t="str">
            <v>קשיח</v>
          </cell>
          <cell r="F102" t="str">
            <v>01.0004</v>
          </cell>
          <cell r="G102">
            <v>45767</v>
          </cell>
          <cell r="H102" t="str">
            <v>01.0004</v>
          </cell>
          <cell r="I102" t="str">
            <v>דר טכנולוגיות בע"מ</v>
          </cell>
          <cell r="J102">
            <v>1.55</v>
          </cell>
          <cell r="K102" t="str">
            <v>$</v>
          </cell>
          <cell r="L102">
            <v>1000</v>
          </cell>
          <cell r="M102" t="str">
            <v>יח'</v>
          </cell>
          <cell r="N102">
            <v>4761.6000000000004</v>
          </cell>
        </row>
        <row r="103">
          <cell r="B103" t="str">
            <v>MS51830-201, Keensert 10-32 N/L</v>
          </cell>
          <cell r="C103">
            <v>40528</v>
          </cell>
          <cell r="D103">
            <v>1</v>
          </cell>
          <cell r="E103" t="str">
            <v>קשיח</v>
          </cell>
          <cell r="F103" t="str">
            <v>01.0004</v>
          </cell>
          <cell r="G103">
            <v>45762</v>
          </cell>
          <cell r="H103" t="str">
            <v>01.0004</v>
          </cell>
          <cell r="I103" t="str">
            <v>דר טכנולוגיות בע"מ</v>
          </cell>
          <cell r="J103">
            <v>1.55</v>
          </cell>
          <cell r="K103" t="str">
            <v>$</v>
          </cell>
          <cell r="L103">
            <v>500</v>
          </cell>
          <cell r="M103" t="str">
            <v>יח'</v>
          </cell>
          <cell r="N103">
            <v>2380.8000000000002</v>
          </cell>
        </row>
        <row r="104">
          <cell r="B104" t="str">
            <v>MS51830-201, Keensert 10-32 N/L</v>
          </cell>
          <cell r="C104">
            <v>40389</v>
          </cell>
          <cell r="D104">
            <v>1</v>
          </cell>
          <cell r="E104" t="str">
            <v>קשיח</v>
          </cell>
          <cell r="F104" t="str">
            <v>01.0004</v>
          </cell>
          <cell r="G104">
            <v>45749</v>
          </cell>
          <cell r="H104" t="str">
            <v>01.0004</v>
          </cell>
          <cell r="I104" t="str">
            <v>דר טכנולוגיות בע"מ</v>
          </cell>
          <cell r="J104">
            <v>1.6</v>
          </cell>
          <cell r="K104" t="str">
            <v>$</v>
          </cell>
          <cell r="L104">
            <v>80</v>
          </cell>
          <cell r="M104" t="str">
            <v>יח'</v>
          </cell>
          <cell r="N104">
            <v>393.21600000000001</v>
          </cell>
        </row>
        <row r="105">
          <cell r="B105" t="str">
            <v>MS51830-201, Keensert 10-32 N/L</v>
          </cell>
          <cell r="C105">
            <v>40347</v>
          </cell>
          <cell r="D105">
            <v>1</v>
          </cell>
          <cell r="E105" t="str">
            <v>קשיח</v>
          </cell>
          <cell r="F105" t="str">
            <v>01.0004</v>
          </cell>
          <cell r="G105">
            <v>45743</v>
          </cell>
          <cell r="H105" t="str">
            <v>01.0004</v>
          </cell>
          <cell r="I105" t="str">
            <v>דר טכנולוגיות בע"מ</v>
          </cell>
          <cell r="J105">
            <v>1.6</v>
          </cell>
          <cell r="K105" t="str">
            <v>$</v>
          </cell>
          <cell r="L105">
            <v>60</v>
          </cell>
          <cell r="M105" t="str">
            <v>יח'</v>
          </cell>
          <cell r="N105">
            <v>294.91200000000003</v>
          </cell>
        </row>
        <row r="106">
          <cell r="B106" t="str">
            <v>MS51830-201, Keensert 10-32 N/L</v>
          </cell>
          <cell r="C106">
            <v>39753</v>
          </cell>
          <cell r="D106">
            <v>1</v>
          </cell>
          <cell r="E106" t="str">
            <v>קשיח</v>
          </cell>
          <cell r="F106" t="str">
            <v>01.0004</v>
          </cell>
          <cell r="G106">
            <v>45697</v>
          </cell>
          <cell r="H106" t="str">
            <v>01.0004</v>
          </cell>
          <cell r="I106" t="str">
            <v>דר טכנולוגיות בע"מ</v>
          </cell>
          <cell r="J106">
            <v>1.47</v>
          </cell>
          <cell r="K106" t="str">
            <v>$</v>
          </cell>
          <cell r="L106">
            <v>11</v>
          </cell>
          <cell r="M106" t="str">
            <v>יח'</v>
          </cell>
          <cell r="N106">
            <v>49.674239999999998</v>
          </cell>
        </row>
        <row r="107">
          <cell r="B107" t="str">
            <v>MS51830-201, Keensert 10-32 N/L</v>
          </cell>
          <cell r="C107">
            <v>39753</v>
          </cell>
          <cell r="D107">
            <v>2</v>
          </cell>
          <cell r="E107" t="str">
            <v>קשיח</v>
          </cell>
          <cell r="F107" t="str">
            <v>01.0004</v>
          </cell>
          <cell r="G107">
            <v>45697</v>
          </cell>
          <cell r="H107" t="str">
            <v>01.0004</v>
          </cell>
          <cell r="I107" t="str">
            <v>דר טכנולוגיות בע"מ</v>
          </cell>
          <cell r="J107">
            <v>1.47</v>
          </cell>
          <cell r="K107" t="str">
            <v>$</v>
          </cell>
          <cell r="L107">
            <v>11</v>
          </cell>
          <cell r="M107" t="str">
            <v>יח'</v>
          </cell>
          <cell r="N107">
            <v>49.674239999999998</v>
          </cell>
        </row>
        <row r="108">
          <cell r="B108" t="str">
            <v>MS51830-201, Keensert 10-32 N/L</v>
          </cell>
          <cell r="C108">
            <v>39753</v>
          </cell>
          <cell r="D108">
            <v>3</v>
          </cell>
          <cell r="E108" t="str">
            <v>קשיח</v>
          </cell>
          <cell r="F108" t="str">
            <v>01.0004</v>
          </cell>
          <cell r="G108">
            <v>45697</v>
          </cell>
          <cell r="H108" t="str">
            <v>01.0004</v>
          </cell>
          <cell r="I108" t="str">
            <v>דר טכנולוגיות בע"מ</v>
          </cell>
          <cell r="J108">
            <v>1.47</v>
          </cell>
          <cell r="K108" t="str">
            <v>$</v>
          </cell>
          <cell r="L108">
            <v>32</v>
          </cell>
          <cell r="M108" t="str">
            <v>יח'</v>
          </cell>
          <cell r="N108">
            <v>144.50688</v>
          </cell>
        </row>
        <row r="109">
          <cell r="B109" t="str">
            <v>MS51830-201, Keensert 10-32 N/L</v>
          </cell>
          <cell r="C109">
            <v>39753</v>
          </cell>
          <cell r="D109">
            <v>4</v>
          </cell>
          <cell r="E109" t="str">
            <v>קשיח</v>
          </cell>
          <cell r="F109" t="str">
            <v>01.0004</v>
          </cell>
          <cell r="G109">
            <v>45697</v>
          </cell>
          <cell r="H109" t="str">
            <v>01.0004</v>
          </cell>
          <cell r="I109" t="str">
            <v>דר טכנולוגיות בע"מ</v>
          </cell>
          <cell r="J109">
            <v>1.47</v>
          </cell>
          <cell r="K109" t="str">
            <v>$</v>
          </cell>
          <cell r="L109">
            <v>16</v>
          </cell>
          <cell r="M109" t="str">
            <v>יח'</v>
          </cell>
          <cell r="N109">
            <v>72.253439999999998</v>
          </cell>
        </row>
        <row r="110">
          <cell r="B110" t="str">
            <v>MS51830-201, Keensert 10-32 N/L</v>
          </cell>
          <cell r="C110">
            <v>39753</v>
          </cell>
          <cell r="D110">
            <v>5</v>
          </cell>
          <cell r="E110" t="str">
            <v>קשיח</v>
          </cell>
          <cell r="F110" t="str">
            <v>01.0004</v>
          </cell>
          <cell r="G110">
            <v>45697</v>
          </cell>
          <cell r="H110" t="str">
            <v>01.0004</v>
          </cell>
          <cell r="I110" t="str">
            <v>דר טכנולוגיות בע"מ</v>
          </cell>
          <cell r="J110">
            <v>1.47</v>
          </cell>
          <cell r="K110" t="str">
            <v>$</v>
          </cell>
          <cell r="L110">
            <v>16</v>
          </cell>
          <cell r="M110" t="str">
            <v>יח'</v>
          </cell>
          <cell r="N110">
            <v>72.253439999999998</v>
          </cell>
        </row>
        <row r="111">
          <cell r="B111" t="str">
            <v>MS51830-201, Keensert 10-32 N/L</v>
          </cell>
          <cell r="C111">
            <v>39753</v>
          </cell>
          <cell r="D111">
            <v>6</v>
          </cell>
          <cell r="E111" t="str">
            <v>קשיח</v>
          </cell>
          <cell r="F111" t="str">
            <v>01.0004</v>
          </cell>
          <cell r="G111">
            <v>45697</v>
          </cell>
          <cell r="H111" t="str">
            <v>01.0004</v>
          </cell>
          <cell r="I111" t="str">
            <v>דר טכנולוגיות בע"מ</v>
          </cell>
          <cell r="J111">
            <v>1.47</v>
          </cell>
          <cell r="K111" t="str">
            <v>$</v>
          </cell>
          <cell r="L111">
            <v>14</v>
          </cell>
          <cell r="M111" t="str">
            <v>יח'</v>
          </cell>
          <cell r="N111">
            <v>63.221759999999996</v>
          </cell>
        </row>
        <row r="112">
          <cell r="B112" t="str">
            <v>MS51830-201, Keensert 10-32 N/L</v>
          </cell>
          <cell r="C112">
            <v>39676</v>
          </cell>
          <cell r="D112">
            <v>1</v>
          </cell>
          <cell r="E112" t="str">
            <v>קשיח</v>
          </cell>
          <cell r="F112" t="str">
            <v>01.0004</v>
          </cell>
          <cell r="G112">
            <v>45690</v>
          </cell>
          <cell r="H112" t="str">
            <v>01.0004</v>
          </cell>
          <cell r="I112" t="str">
            <v>דר טכנולוגיות בע"מ</v>
          </cell>
          <cell r="J112">
            <v>1.47</v>
          </cell>
          <cell r="K112" t="str">
            <v>$</v>
          </cell>
          <cell r="L112">
            <v>360</v>
          </cell>
          <cell r="M112" t="str">
            <v>יח'</v>
          </cell>
          <cell r="N112">
            <v>1625.7024000000001</v>
          </cell>
        </row>
        <row r="113">
          <cell r="B113" t="str">
            <v>MS51830-201, Keensert 10-32 N/L</v>
          </cell>
          <cell r="C113">
            <v>39604</v>
          </cell>
          <cell r="D113">
            <v>1</v>
          </cell>
          <cell r="E113" t="str">
            <v>קשיח</v>
          </cell>
          <cell r="F113" t="str">
            <v>01.0004</v>
          </cell>
          <cell r="G113">
            <v>45684</v>
          </cell>
          <cell r="H113" t="str">
            <v>01.0004</v>
          </cell>
          <cell r="I113" t="str">
            <v>דר טכנולוגיות בע"מ</v>
          </cell>
          <cell r="J113">
            <v>1.47</v>
          </cell>
          <cell r="K113" t="str">
            <v>$</v>
          </cell>
          <cell r="L113">
            <v>143</v>
          </cell>
          <cell r="M113" t="str">
            <v>יח'</v>
          </cell>
          <cell r="N113">
            <v>645.76512000000002</v>
          </cell>
        </row>
        <row r="114">
          <cell r="B114" t="str">
            <v>MS51830-201, Keensert 10-32 N/L</v>
          </cell>
          <cell r="C114">
            <v>39587</v>
          </cell>
          <cell r="D114">
            <v>1</v>
          </cell>
          <cell r="E114" t="str">
            <v>קשיח</v>
          </cell>
          <cell r="F114" t="str">
            <v>01.0004</v>
          </cell>
          <cell r="G114">
            <v>45683</v>
          </cell>
          <cell r="H114" t="str">
            <v>01.0004</v>
          </cell>
          <cell r="I114" t="str">
            <v>דר טכנולוגיות בע"מ</v>
          </cell>
          <cell r="J114">
            <v>1.4690000000000001</v>
          </cell>
          <cell r="K114" t="str">
            <v>$</v>
          </cell>
          <cell r="L114">
            <v>500</v>
          </cell>
          <cell r="M114" t="str">
            <v>יח'</v>
          </cell>
          <cell r="N114">
            <v>2256.384</v>
          </cell>
        </row>
        <row r="115">
          <cell r="B115" t="str">
            <v>MS51830-201, Keensert 10-32 N/L</v>
          </cell>
          <cell r="C115">
            <v>39587</v>
          </cell>
          <cell r="D115">
            <v>4</v>
          </cell>
          <cell r="E115" t="str">
            <v>קשיח</v>
          </cell>
          <cell r="F115" t="str">
            <v>01.0004</v>
          </cell>
          <cell r="G115">
            <v>45683</v>
          </cell>
          <cell r="H115" t="str">
            <v>01.0004</v>
          </cell>
          <cell r="I115" t="str">
            <v>דר טכנולוגיות בע"מ</v>
          </cell>
          <cell r="J115">
            <v>1.47</v>
          </cell>
          <cell r="K115" t="str">
            <v>$</v>
          </cell>
          <cell r="L115">
            <v>500</v>
          </cell>
          <cell r="M115" t="str">
            <v>יח'</v>
          </cell>
          <cell r="N115">
            <v>2257.92</v>
          </cell>
        </row>
        <row r="116">
          <cell r="B116" t="str">
            <v>MS51830-201, Keensert 10-32 N/L</v>
          </cell>
          <cell r="C116">
            <v>39587</v>
          </cell>
          <cell r="D116">
            <v>7</v>
          </cell>
          <cell r="E116" t="str">
            <v>קשיח</v>
          </cell>
          <cell r="F116" t="str">
            <v>01.0004</v>
          </cell>
          <cell r="G116">
            <v>45683</v>
          </cell>
          <cell r="H116" t="str">
            <v>01.0004</v>
          </cell>
          <cell r="I116" t="str">
            <v>דר טכנולוגיות בע"מ</v>
          </cell>
          <cell r="J116">
            <v>1.47</v>
          </cell>
          <cell r="K116" t="str">
            <v>$</v>
          </cell>
          <cell r="L116">
            <v>500</v>
          </cell>
          <cell r="M116" t="str">
            <v>יח'</v>
          </cell>
          <cell r="N116">
            <v>2257.92</v>
          </cell>
        </row>
        <row r="117">
          <cell r="B117" t="str">
            <v>MS51830-201, Keensert 10-32 N/L</v>
          </cell>
          <cell r="C117">
            <v>39203</v>
          </cell>
          <cell r="D117">
            <v>1</v>
          </cell>
          <cell r="E117" t="str">
            <v>קשיח</v>
          </cell>
          <cell r="F117" t="str">
            <v>01.0004</v>
          </cell>
          <cell r="G117">
            <v>45645</v>
          </cell>
          <cell r="H117" t="str">
            <v>01.0004</v>
          </cell>
          <cell r="I117" t="str">
            <v>דר טכנולוגיות בע"מ</v>
          </cell>
          <cell r="J117">
            <v>5.9</v>
          </cell>
          <cell r="K117" t="str">
            <v>₪</v>
          </cell>
          <cell r="L117">
            <v>900</v>
          </cell>
          <cell r="M117" t="str">
            <v>יח'</v>
          </cell>
          <cell r="N117">
            <v>5310</v>
          </cell>
        </row>
        <row r="118">
          <cell r="B118" t="str">
            <v>MS51830-201, Keensert 10-32 N/L</v>
          </cell>
          <cell r="C118">
            <v>38182</v>
          </cell>
          <cell r="D118">
            <v>2</v>
          </cell>
          <cell r="E118" t="str">
            <v>קשיח</v>
          </cell>
          <cell r="F118" t="str">
            <v>01.0004</v>
          </cell>
          <cell r="G118">
            <v>45533</v>
          </cell>
          <cell r="H118" t="str">
            <v>01.0004</v>
          </cell>
          <cell r="I118" t="str">
            <v>דר טכנולוגיות בע"מ</v>
          </cell>
          <cell r="J118">
            <v>5.7</v>
          </cell>
          <cell r="K118" t="str">
            <v>₪</v>
          </cell>
          <cell r="L118">
            <v>550</v>
          </cell>
          <cell r="M118" t="str">
            <v>יח'</v>
          </cell>
          <cell r="N118">
            <v>3135</v>
          </cell>
        </row>
        <row r="119">
          <cell r="B119" t="str">
            <v>MS51830-201, Keensert 10-32 N/L</v>
          </cell>
          <cell r="C119">
            <v>38153</v>
          </cell>
          <cell r="D119">
            <v>2</v>
          </cell>
          <cell r="E119" t="str">
            <v>קשיח</v>
          </cell>
          <cell r="F119" t="str">
            <v>01.0004</v>
          </cell>
          <cell r="G119">
            <v>45530</v>
          </cell>
          <cell r="H119" t="str">
            <v>01.0004</v>
          </cell>
          <cell r="I119" t="str">
            <v>דר טכנולוגיות בע"מ</v>
          </cell>
          <cell r="J119">
            <v>5.7</v>
          </cell>
          <cell r="K119" t="str">
            <v>₪</v>
          </cell>
          <cell r="L119">
            <v>250</v>
          </cell>
          <cell r="M119" t="str">
            <v>יח'</v>
          </cell>
          <cell r="N119">
            <v>1425</v>
          </cell>
        </row>
        <row r="120">
          <cell r="B120" t="str">
            <v>MS51830-201, Keensert 10-32 N/L</v>
          </cell>
          <cell r="C120">
            <v>37718</v>
          </cell>
          <cell r="D120">
            <v>2</v>
          </cell>
          <cell r="E120" t="str">
            <v>קשיח</v>
          </cell>
          <cell r="F120" t="str">
            <v>01.0004</v>
          </cell>
          <cell r="G120">
            <v>45484</v>
          </cell>
          <cell r="H120" t="str">
            <v>01.0004</v>
          </cell>
          <cell r="I120" t="str">
            <v>גין מהנדסים בע"מ</v>
          </cell>
          <cell r="J120">
            <v>6</v>
          </cell>
          <cell r="K120" t="str">
            <v>₪</v>
          </cell>
          <cell r="L120">
            <v>1000</v>
          </cell>
          <cell r="M120" t="str">
            <v>יח'</v>
          </cell>
          <cell r="N120">
            <v>6000</v>
          </cell>
        </row>
        <row r="121">
          <cell r="B121" t="str">
            <v>MS51830-201, Keensert 10-32 N/L</v>
          </cell>
          <cell r="C121">
            <v>37616</v>
          </cell>
          <cell r="D121">
            <v>1</v>
          </cell>
          <cell r="E121" t="str">
            <v>קשיח</v>
          </cell>
          <cell r="F121" t="str">
            <v>01.0004</v>
          </cell>
          <cell r="G121">
            <v>45475</v>
          </cell>
          <cell r="H121" t="str">
            <v>01.0004</v>
          </cell>
          <cell r="I121" t="str">
            <v>דר טכנולוגיות בע"מ</v>
          </cell>
          <cell r="J121">
            <v>6</v>
          </cell>
          <cell r="K121" t="str">
            <v>₪</v>
          </cell>
          <cell r="L121">
            <v>200</v>
          </cell>
          <cell r="M121" t="str">
            <v>יח'</v>
          </cell>
          <cell r="N121">
            <v>1200</v>
          </cell>
        </row>
        <row r="122">
          <cell r="B122" t="str">
            <v>MS51830-201, Keensert 10-32 N/L</v>
          </cell>
          <cell r="C122">
            <v>37079</v>
          </cell>
          <cell r="D122">
            <v>1</v>
          </cell>
          <cell r="E122" t="str">
            <v>קשיח</v>
          </cell>
          <cell r="F122" t="str">
            <v>01.0004</v>
          </cell>
          <cell r="G122">
            <v>45414</v>
          </cell>
          <cell r="H122" t="str">
            <v>01.0004</v>
          </cell>
          <cell r="I122" t="str">
            <v>לוונשטיין טכנולוגיות בע"מ</v>
          </cell>
          <cell r="J122">
            <v>6.4983000000000004</v>
          </cell>
          <cell r="K122" t="str">
            <v>₪</v>
          </cell>
          <cell r="L122">
            <v>100</v>
          </cell>
          <cell r="M122" t="str">
            <v>יח'</v>
          </cell>
          <cell r="N122">
            <v>649.83000000000004</v>
          </cell>
        </row>
        <row r="123">
          <cell r="B123" t="str">
            <v>MS51830-201, Keensert 10-32 N/L</v>
          </cell>
          <cell r="C123">
            <v>36557</v>
          </cell>
          <cell r="D123">
            <v>1</v>
          </cell>
          <cell r="E123" t="str">
            <v>קשיח</v>
          </cell>
          <cell r="F123" t="str">
            <v>01.0004</v>
          </cell>
          <cell r="G123">
            <v>45354</v>
          </cell>
          <cell r="H123" t="str">
            <v>01.0004</v>
          </cell>
          <cell r="I123" t="str">
            <v>לוונשטיין טכנולוגיות בע"מ</v>
          </cell>
          <cell r="J123">
            <v>6.5</v>
          </cell>
          <cell r="K123" t="str">
            <v>₪</v>
          </cell>
          <cell r="L123">
            <v>150</v>
          </cell>
          <cell r="M123" t="str">
            <v>יח'</v>
          </cell>
          <cell r="N123">
            <v>975</v>
          </cell>
        </row>
        <row r="124">
          <cell r="B124" t="str">
            <v>MS51830-201, Keensert 10-32 N/L</v>
          </cell>
          <cell r="C124">
            <v>36344</v>
          </cell>
          <cell r="D124">
            <v>1</v>
          </cell>
          <cell r="E124" t="str">
            <v>קשיח</v>
          </cell>
          <cell r="F124" t="str">
            <v>01.0004</v>
          </cell>
          <cell r="G124">
            <v>45327</v>
          </cell>
          <cell r="H124" t="str">
            <v>01.0004</v>
          </cell>
          <cell r="I124" t="str">
            <v>לוונשטיין טכנולוגיות בע"מ</v>
          </cell>
          <cell r="J124">
            <v>6.5</v>
          </cell>
          <cell r="K124" t="str">
            <v>₪</v>
          </cell>
          <cell r="L124">
            <v>30</v>
          </cell>
          <cell r="M124" t="str">
            <v>יח'</v>
          </cell>
          <cell r="N124">
            <v>195</v>
          </cell>
        </row>
        <row r="125">
          <cell r="B125" t="str">
            <v>MS51830-201, Keensert 10-32 N/L</v>
          </cell>
          <cell r="C125">
            <v>35973</v>
          </cell>
          <cell r="D125">
            <v>1</v>
          </cell>
          <cell r="E125" t="str">
            <v>קשיח</v>
          </cell>
          <cell r="F125" t="str">
            <v>01.0004</v>
          </cell>
          <cell r="G125">
            <v>45291</v>
          </cell>
          <cell r="H125" t="str">
            <v>01.0004</v>
          </cell>
          <cell r="I125" t="str">
            <v>אמזה</v>
          </cell>
          <cell r="J125">
            <v>6.5145</v>
          </cell>
          <cell r="K125" t="str">
            <v>₪</v>
          </cell>
          <cell r="M125" t="str">
            <v>יח'</v>
          </cell>
        </row>
        <row r="126">
          <cell r="B126" t="str">
            <v>KEENSERT MS51830-201</v>
          </cell>
          <cell r="C126">
            <v>35858</v>
          </cell>
          <cell r="D126">
            <v>2</v>
          </cell>
          <cell r="E126" t="str">
            <v>קשיח</v>
          </cell>
          <cell r="F126" t="str">
            <v>01.0004</v>
          </cell>
          <cell r="G126">
            <v>45279</v>
          </cell>
          <cell r="H126" t="str">
            <v>01.0004</v>
          </cell>
          <cell r="I126" t="str">
            <v>לוונשטיין טכנולוגיות בע"מ</v>
          </cell>
          <cell r="J126">
            <v>6.5</v>
          </cell>
          <cell r="K126" t="str">
            <v>₪</v>
          </cell>
          <cell r="L126">
            <v>500</v>
          </cell>
          <cell r="M126" t="str">
            <v>יח'</v>
          </cell>
          <cell r="N126">
            <v>3250</v>
          </cell>
        </row>
        <row r="127">
          <cell r="B127" t="str">
            <v>MS51830-201, Keensert 10-32 N/L</v>
          </cell>
          <cell r="C127">
            <v>35646</v>
          </cell>
          <cell r="D127">
            <v>2</v>
          </cell>
          <cell r="E127" t="str">
            <v>קשיח</v>
          </cell>
          <cell r="F127" t="str">
            <v>01.0004</v>
          </cell>
          <cell r="G127">
            <v>45256</v>
          </cell>
          <cell r="H127" t="str">
            <v>01.0004</v>
          </cell>
          <cell r="I127" t="str">
            <v>לוונשטיין טכנולוגיות בע"מ</v>
          </cell>
          <cell r="J127">
            <v>5.2</v>
          </cell>
          <cell r="K127" t="str">
            <v>₪</v>
          </cell>
          <cell r="L127">
            <v>400</v>
          </cell>
          <cell r="M127" t="str">
            <v>יח'</v>
          </cell>
          <cell r="N127">
            <v>2080</v>
          </cell>
        </row>
        <row r="128">
          <cell r="B128" t="str">
            <v>KEENSERT MS51830-201</v>
          </cell>
          <cell r="C128">
            <v>35505</v>
          </cell>
          <cell r="D128">
            <v>1</v>
          </cell>
          <cell r="E128" t="str">
            <v>קשיח</v>
          </cell>
          <cell r="F128" t="str">
            <v>01.0004</v>
          </cell>
          <cell r="G128">
            <v>45238</v>
          </cell>
          <cell r="H128" t="str">
            <v>01.0004</v>
          </cell>
          <cell r="I128" t="str">
            <v>לוונשטיין טכנולוגיות בע"מ</v>
          </cell>
          <cell r="J128">
            <v>6.5</v>
          </cell>
          <cell r="K128" t="str">
            <v>₪</v>
          </cell>
          <cell r="L128">
            <v>500</v>
          </cell>
          <cell r="M128" t="str">
            <v>יח'</v>
          </cell>
          <cell r="N128">
            <v>3250</v>
          </cell>
        </row>
        <row r="129">
          <cell r="B129" t="str">
            <v>MS51830-201, Keensert 10-32 N/L</v>
          </cell>
          <cell r="C129">
            <v>29638</v>
          </cell>
          <cell r="D129">
            <v>3</v>
          </cell>
          <cell r="E129" t="str">
            <v>קשיח</v>
          </cell>
          <cell r="F129" t="str">
            <v>01.0004</v>
          </cell>
          <cell r="G129">
            <v>44433</v>
          </cell>
          <cell r="H129" t="str">
            <v>01.0004</v>
          </cell>
          <cell r="I129" t="str">
            <v>גין מהנדסים בע"מ</v>
          </cell>
          <cell r="J129">
            <v>3.5</v>
          </cell>
          <cell r="K129" t="str">
            <v>₪</v>
          </cell>
          <cell r="L129">
            <v>200</v>
          </cell>
          <cell r="M129" t="str">
            <v>יח'</v>
          </cell>
          <cell r="N129">
            <v>700</v>
          </cell>
        </row>
        <row r="130">
          <cell r="B130" t="str">
            <v>KEENSERT MS51830-201</v>
          </cell>
          <cell r="C130">
            <v>26594</v>
          </cell>
          <cell r="D130">
            <v>1</v>
          </cell>
          <cell r="E130" t="str">
            <v>קשיח</v>
          </cell>
          <cell r="F130" t="str">
            <v>01.0004</v>
          </cell>
          <cell r="G130">
            <v>44020</v>
          </cell>
          <cell r="H130" t="str">
            <v>01.0004</v>
          </cell>
          <cell r="I130" t="str">
            <v>גין מהנדסים בע"מ</v>
          </cell>
          <cell r="J130">
            <v>3.5</v>
          </cell>
          <cell r="K130" t="str">
            <v>₪</v>
          </cell>
          <cell r="L130">
            <v>500</v>
          </cell>
          <cell r="M130" t="str">
            <v>יח'</v>
          </cell>
          <cell r="N130">
            <v>1750</v>
          </cell>
        </row>
        <row r="131">
          <cell r="B131" t="str">
            <v>MS51830-201, Keensert 10-32 N/L</v>
          </cell>
          <cell r="C131">
            <v>25065</v>
          </cell>
          <cell r="D131">
            <v>2</v>
          </cell>
          <cell r="E131" t="str">
            <v>קשיח</v>
          </cell>
          <cell r="F131" t="str">
            <v>01.0004</v>
          </cell>
          <cell r="G131">
            <v>43783</v>
          </cell>
          <cell r="H131" t="str">
            <v>01.0004</v>
          </cell>
          <cell r="I131" t="str">
            <v>גין מהנדסים בע"מ</v>
          </cell>
          <cell r="J131">
            <v>3.5</v>
          </cell>
          <cell r="K131" t="str">
            <v>₪</v>
          </cell>
          <cell r="L131">
            <v>700</v>
          </cell>
          <cell r="M131" t="str">
            <v>יח'</v>
          </cell>
          <cell r="N131">
            <v>2450</v>
          </cell>
        </row>
        <row r="132">
          <cell r="B132" t="str">
            <v>KEENSERT MS51830-201</v>
          </cell>
          <cell r="C132">
            <v>24617</v>
          </cell>
          <cell r="D132">
            <v>5</v>
          </cell>
          <cell r="E132" t="str">
            <v>קשיח</v>
          </cell>
          <cell r="F132" t="str">
            <v>01.0004</v>
          </cell>
          <cell r="G132">
            <v>43710</v>
          </cell>
          <cell r="H132" t="str">
            <v>01.0004</v>
          </cell>
          <cell r="I132" t="str">
            <v>גין מהנדסים בע"מ</v>
          </cell>
          <cell r="J132">
            <v>3.5</v>
          </cell>
          <cell r="K132" t="str">
            <v>₪</v>
          </cell>
          <cell r="L132">
            <v>200</v>
          </cell>
          <cell r="M132" t="str">
            <v>יח'</v>
          </cell>
          <cell r="N132">
            <v>700</v>
          </cell>
        </row>
        <row r="133">
          <cell r="B133" t="str">
            <v>KEENSERT MS51830-201</v>
          </cell>
          <cell r="C133">
            <v>16367</v>
          </cell>
          <cell r="D133">
            <v>1</v>
          </cell>
          <cell r="E133" t="str">
            <v>קשיח</v>
          </cell>
          <cell r="F133" t="str">
            <v>01.0004</v>
          </cell>
          <cell r="G133">
            <v>42955</v>
          </cell>
          <cell r="H133" t="str">
            <v>01.0004</v>
          </cell>
          <cell r="I133" t="str">
            <v>גין מהנדסים בע"מ</v>
          </cell>
          <cell r="J133">
            <v>3.5</v>
          </cell>
          <cell r="K133" t="str">
            <v>₪</v>
          </cell>
          <cell r="M133" t="str">
            <v>יח'</v>
          </cell>
        </row>
        <row r="134">
          <cell r="B134" t="str">
            <v>MS51830-201, Keensert 10-32 N/L</v>
          </cell>
          <cell r="C134">
            <v>7716</v>
          </cell>
          <cell r="D134">
            <v>1</v>
          </cell>
          <cell r="E134" t="str">
            <v>קשיח</v>
          </cell>
          <cell r="F134" t="str">
            <v>01.0004</v>
          </cell>
          <cell r="G134">
            <v>42046</v>
          </cell>
          <cell r="H134" t="str">
            <v>01.0004</v>
          </cell>
          <cell r="I134" t="str">
            <v>לוונשטיין טכנולוגיות</v>
          </cell>
          <cell r="K134" t="str">
            <v>₪</v>
          </cell>
          <cell r="L134">
            <v>300</v>
          </cell>
          <cell r="M134" t="str">
            <v>יח'</v>
          </cell>
        </row>
        <row r="135">
          <cell r="B135" t="str">
            <v>MS51830-201, INSERT KEY-LOCKED 10-32 N/L</v>
          </cell>
          <cell r="C135">
            <v>2655</v>
          </cell>
          <cell r="D135">
            <v>2</v>
          </cell>
          <cell r="E135" t="str">
            <v>קשיח</v>
          </cell>
          <cell r="F135" t="str">
            <v>01.0004</v>
          </cell>
          <cell r="G135">
            <v>41406</v>
          </cell>
          <cell r="H135" t="str">
            <v>01.0004</v>
          </cell>
          <cell r="I135" t="str">
            <v>מלאי מקומי בע"מ</v>
          </cell>
          <cell r="J135">
            <v>0</v>
          </cell>
          <cell r="K135" t="str">
            <v>₪</v>
          </cell>
          <cell r="L135">
            <v>1000</v>
          </cell>
          <cell r="M135" t="str">
            <v>יח'</v>
          </cell>
          <cell r="N135">
            <v>0</v>
          </cell>
        </row>
        <row r="136">
          <cell r="B136" t="str">
            <v>MS51830-201, INSERT KEY-LOCKED 10-32 N/L</v>
          </cell>
          <cell r="C136">
            <v>2655</v>
          </cell>
          <cell r="D136">
            <v>6</v>
          </cell>
          <cell r="E136" t="str">
            <v>קשיח</v>
          </cell>
          <cell r="F136" t="str">
            <v>01.0004</v>
          </cell>
          <cell r="G136">
            <v>41406</v>
          </cell>
          <cell r="H136" t="str">
            <v>01.0004</v>
          </cell>
          <cell r="I136" t="str">
            <v>מלאי מקומי בע"מ</v>
          </cell>
          <cell r="J136">
            <v>0</v>
          </cell>
          <cell r="K136" t="str">
            <v>₪</v>
          </cell>
          <cell r="L136">
            <v>1000</v>
          </cell>
          <cell r="M136" t="str">
            <v>יח'</v>
          </cell>
          <cell r="N136">
            <v>0</v>
          </cell>
        </row>
        <row r="137">
          <cell r="B137" t="str">
            <v xml:space="preserve"> KINSERT KN1032J</v>
          </cell>
          <cell r="C137">
            <v>33927</v>
          </cell>
          <cell r="D137">
            <v>1</v>
          </cell>
          <cell r="E137" t="str">
            <v>קשיח</v>
          </cell>
          <cell r="F137" t="str">
            <v>01.0005</v>
          </cell>
          <cell r="G137">
            <v>45057</v>
          </cell>
          <cell r="H137" t="str">
            <v>01.0005</v>
          </cell>
          <cell r="I137" t="str">
            <v>טרייד פאק בע"מ</v>
          </cell>
          <cell r="J137">
            <v>31.42</v>
          </cell>
          <cell r="K137" t="str">
            <v>₪</v>
          </cell>
          <cell r="M137" t="str">
            <v>יח'</v>
          </cell>
        </row>
        <row r="138">
          <cell r="B138" t="str">
            <v>KINSERT KN1032J</v>
          </cell>
          <cell r="C138">
            <v>106</v>
          </cell>
          <cell r="D138">
            <v>1</v>
          </cell>
          <cell r="E138" t="str">
            <v>קשיח</v>
          </cell>
          <cell r="F138" t="str">
            <v>01.0005</v>
          </cell>
          <cell r="G138">
            <v>41087</v>
          </cell>
          <cell r="H138" t="str">
            <v>01.0005</v>
          </cell>
          <cell r="I138" t="str">
            <v>מלאי מקומי בע"מ</v>
          </cell>
          <cell r="J138">
            <v>31.42</v>
          </cell>
          <cell r="K138" t="str">
            <v>₪</v>
          </cell>
          <cell r="L138">
            <v>10</v>
          </cell>
          <cell r="M138" t="str">
            <v>יח'</v>
          </cell>
          <cell r="N138">
            <v>314.20000000000005</v>
          </cell>
        </row>
        <row r="139">
          <cell r="B139" t="str">
            <v>KINSERT KN1032J</v>
          </cell>
          <cell r="C139">
            <v>99</v>
          </cell>
          <cell r="D139">
            <v>1</v>
          </cell>
          <cell r="E139" t="str">
            <v>קשיח</v>
          </cell>
          <cell r="F139" t="str">
            <v>01.0005</v>
          </cell>
          <cell r="G139">
            <v>41086</v>
          </cell>
          <cell r="H139" t="str">
            <v>01.0005</v>
          </cell>
          <cell r="I139" t="str">
            <v>מלאי מקומי בע"מ</v>
          </cell>
          <cell r="J139">
            <v>31.42</v>
          </cell>
          <cell r="K139" t="str">
            <v>₪</v>
          </cell>
          <cell r="L139">
            <v>10</v>
          </cell>
          <cell r="M139" t="str">
            <v>יח'</v>
          </cell>
          <cell r="N139">
            <v>314.20000000000005</v>
          </cell>
        </row>
        <row r="140">
          <cell r="B140" t="str">
            <v>MS21209F5-15 INSERT 182EA JT8D ALL &amp; 2XX</v>
          </cell>
          <cell r="C140">
            <v>33229</v>
          </cell>
          <cell r="D140">
            <v>1</v>
          </cell>
          <cell r="E140" t="str">
            <v>קשיח</v>
          </cell>
          <cell r="F140" t="str">
            <v>01.0006</v>
          </cell>
          <cell r="G140">
            <v>44945</v>
          </cell>
          <cell r="H140" t="str">
            <v>01.0006</v>
          </cell>
          <cell r="I140" t="str">
            <v>דר טכנולוגיות בע"מ</v>
          </cell>
          <cell r="J140">
            <v>1.3</v>
          </cell>
          <cell r="K140" t="str">
            <v>₪</v>
          </cell>
          <cell r="L140">
            <v>300</v>
          </cell>
          <cell r="M140" t="str">
            <v>יח'</v>
          </cell>
          <cell r="N140">
            <v>390</v>
          </cell>
        </row>
        <row r="141">
          <cell r="B141" t="str">
            <v>MS21209F5-15 INSERT 182EA JT8D ALL &amp; 2XX</v>
          </cell>
          <cell r="C141">
            <v>33031</v>
          </cell>
          <cell r="D141">
            <v>2</v>
          </cell>
          <cell r="E141" t="str">
            <v>קשיח</v>
          </cell>
          <cell r="F141" t="str">
            <v>01.0006</v>
          </cell>
          <cell r="G141">
            <v>44916</v>
          </cell>
          <cell r="H141" t="str">
            <v>01.0006</v>
          </cell>
          <cell r="I141" t="str">
            <v>לוונשטיין טכנולוגיות בע"מ</v>
          </cell>
          <cell r="J141">
            <v>1.3</v>
          </cell>
          <cell r="K141" t="str">
            <v>₪</v>
          </cell>
          <cell r="L141">
            <v>480</v>
          </cell>
          <cell r="M141" t="str">
            <v>יח'</v>
          </cell>
          <cell r="N141">
            <v>624</v>
          </cell>
        </row>
        <row r="142">
          <cell r="B142" t="str">
            <v>INSERT HCOIL CRES M6X1.5D TNM6X1C-9</v>
          </cell>
          <cell r="C142">
            <v>40867</v>
          </cell>
          <cell r="D142">
            <v>1</v>
          </cell>
          <cell r="E142" t="str">
            <v>קשיח</v>
          </cell>
          <cell r="F142" t="str">
            <v>01.0007</v>
          </cell>
          <cell r="G142">
            <v>45792</v>
          </cell>
          <cell r="H142" t="str">
            <v>01.0007</v>
          </cell>
          <cell r="I142" t="str">
            <v>דר טכנולוגיות בע"מ</v>
          </cell>
          <cell r="J142">
            <v>0.45</v>
          </cell>
          <cell r="K142" t="str">
            <v>₪</v>
          </cell>
          <cell r="L142">
            <v>1000</v>
          </cell>
          <cell r="M142" t="str">
            <v>יח'</v>
          </cell>
          <cell r="N142">
            <v>450</v>
          </cell>
        </row>
        <row r="143">
          <cell r="B143" t="str">
            <v>INSERT HCOIL CRES M6X1.5D TNM6X1C-9</v>
          </cell>
          <cell r="C143">
            <v>38305</v>
          </cell>
          <cell r="D143">
            <v>1</v>
          </cell>
          <cell r="E143" t="str">
            <v>קשיח</v>
          </cell>
          <cell r="F143" t="str">
            <v>01.0007</v>
          </cell>
          <cell r="G143">
            <v>45547</v>
          </cell>
          <cell r="H143" t="str">
            <v>01.0007</v>
          </cell>
          <cell r="I143" t="str">
            <v>לוונשטיין טכנולוגיות בע"מ</v>
          </cell>
          <cell r="J143">
            <v>0.62</v>
          </cell>
          <cell r="K143" t="str">
            <v>₪</v>
          </cell>
          <cell r="L143">
            <v>1000</v>
          </cell>
          <cell r="M143" t="str">
            <v>יח'</v>
          </cell>
          <cell r="N143">
            <v>620</v>
          </cell>
        </row>
        <row r="144">
          <cell r="B144" t="str">
            <v>INSERT HCOIL CRES M6X1.5D TNM6X1C-9</v>
          </cell>
          <cell r="C144">
            <v>37492</v>
          </cell>
          <cell r="D144">
            <v>1</v>
          </cell>
          <cell r="E144" t="str">
            <v>קשיח</v>
          </cell>
          <cell r="F144" t="str">
            <v>01.0007</v>
          </cell>
          <cell r="G144">
            <v>45460</v>
          </cell>
          <cell r="H144" t="str">
            <v>01.0007</v>
          </cell>
          <cell r="I144" t="str">
            <v>לוונשטיין טכנולוגיות בע"מ</v>
          </cell>
          <cell r="J144">
            <v>0.62</v>
          </cell>
          <cell r="K144" t="str">
            <v>₪</v>
          </cell>
          <cell r="L144">
            <v>1000</v>
          </cell>
          <cell r="M144" t="str">
            <v>יח'</v>
          </cell>
          <cell r="N144">
            <v>620</v>
          </cell>
        </row>
        <row r="145">
          <cell r="B145" t="str">
            <v>INSERT HCOIL CRES M6X1.5D TNM6X1C-9</v>
          </cell>
          <cell r="C145">
            <v>36975</v>
          </cell>
          <cell r="D145">
            <v>1</v>
          </cell>
          <cell r="E145" t="str">
            <v>קשיח</v>
          </cell>
          <cell r="F145" t="str">
            <v>01.0007</v>
          </cell>
          <cell r="G145">
            <v>45400</v>
          </cell>
          <cell r="H145" t="str">
            <v>01.0007</v>
          </cell>
          <cell r="I145" t="str">
            <v>לוונשטיין טכנולוגיות בע"מ</v>
          </cell>
          <cell r="J145">
            <v>0.62</v>
          </cell>
          <cell r="K145" t="str">
            <v>₪</v>
          </cell>
          <cell r="L145">
            <v>1000</v>
          </cell>
          <cell r="M145" t="str">
            <v>יח'</v>
          </cell>
          <cell r="N145">
            <v>620</v>
          </cell>
        </row>
        <row r="146">
          <cell r="B146" t="str">
            <v>INSERT HCOIL CRES M6X1.5D TNM6X1C-9</v>
          </cell>
          <cell r="C146">
            <v>35675</v>
          </cell>
          <cell r="D146">
            <v>1</v>
          </cell>
          <cell r="E146" t="str">
            <v>קשיח</v>
          </cell>
          <cell r="F146" t="str">
            <v>01.0007</v>
          </cell>
          <cell r="G146">
            <v>45260</v>
          </cell>
          <cell r="H146" t="str">
            <v>01.0007</v>
          </cell>
          <cell r="I146" t="str">
            <v>דר טכנולוגיות בע"מ</v>
          </cell>
          <cell r="J146">
            <v>0.48</v>
          </cell>
          <cell r="K146" t="str">
            <v>₪</v>
          </cell>
          <cell r="L146">
            <v>1000</v>
          </cell>
          <cell r="M146" t="str">
            <v>יח'</v>
          </cell>
          <cell r="N146">
            <v>480</v>
          </cell>
        </row>
        <row r="147">
          <cell r="B147" t="str">
            <v>INSERT HCOIL CRES M6X1.5D TNM6X1C-9</v>
          </cell>
          <cell r="C147">
            <v>35133</v>
          </cell>
          <cell r="D147">
            <v>1</v>
          </cell>
          <cell r="E147" t="str">
            <v>קשיח</v>
          </cell>
          <cell r="F147" t="str">
            <v>01.0007</v>
          </cell>
          <cell r="G147">
            <v>45188</v>
          </cell>
          <cell r="H147" t="str">
            <v>01.0007</v>
          </cell>
          <cell r="I147" t="str">
            <v>דר טכנולוגיות בע"מ</v>
          </cell>
          <cell r="J147">
            <v>0.48</v>
          </cell>
          <cell r="K147" t="str">
            <v>₪</v>
          </cell>
          <cell r="L147">
            <v>1000</v>
          </cell>
          <cell r="M147" t="str">
            <v>יח'</v>
          </cell>
          <cell r="N147">
            <v>480</v>
          </cell>
        </row>
        <row r="148">
          <cell r="B148" t="str">
            <v>INSERT HCOIL CRES M6X1.5D TNM6X1C-9</v>
          </cell>
          <cell r="C148">
            <v>32639</v>
          </cell>
          <cell r="D148">
            <v>1</v>
          </cell>
          <cell r="E148" t="str">
            <v>קשיח</v>
          </cell>
          <cell r="F148" t="str">
            <v>01.0007</v>
          </cell>
          <cell r="G148">
            <v>44860</v>
          </cell>
          <cell r="H148" t="str">
            <v>01.0007</v>
          </cell>
          <cell r="I148" t="str">
            <v>דר טכנולוגיות בע"מ</v>
          </cell>
          <cell r="J148">
            <v>0.48</v>
          </cell>
          <cell r="K148" t="str">
            <v>₪</v>
          </cell>
          <cell r="L148">
            <v>1000</v>
          </cell>
          <cell r="M148" t="str">
            <v>יח'</v>
          </cell>
          <cell r="N148">
            <v>480</v>
          </cell>
        </row>
        <row r="149">
          <cell r="B149" t="str">
            <v>M3X3SW-1084-3  CNW030</v>
          </cell>
          <cell r="C149">
            <v>2085</v>
          </cell>
          <cell r="D149">
            <v>1</v>
          </cell>
          <cell r="E149" t="str">
            <v>קשיח</v>
          </cell>
          <cell r="F149" t="str">
            <v>01.0007</v>
          </cell>
          <cell r="G149">
            <v>41330</v>
          </cell>
          <cell r="H149" t="str">
            <v>01.0007</v>
          </cell>
          <cell r="I149" t="str">
            <v>לוונשטיין טכנולוגיות</v>
          </cell>
          <cell r="J149">
            <v>9.89</v>
          </cell>
          <cell r="K149" t="str">
            <v>₪</v>
          </cell>
          <cell r="L149">
            <v>60</v>
          </cell>
          <cell r="M149" t="str">
            <v>יח'</v>
          </cell>
          <cell r="N149">
            <v>593.40000000000009</v>
          </cell>
        </row>
        <row r="150">
          <cell r="B150" t="str">
            <v>MS 122076</v>
          </cell>
          <cell r="C150">
            <v>44814</v>
          </cell>
          <cell r="D150">
            <v>2</v>
          </cell>
          <cell r="E150" t="str">
            <v>קשיח</v>
          </cell>
          <cell r="F150" t="str">
            <v>01.0008</v>
          </cell>
          <cell r="G150">
            <v>46064</v>
          </cell>
          <cell r="H150" t="str">
            <v>01.0008</v>
          </cell>
          <cell r="I150" t="str">
            <v>לוונשטיין טכנולוגיות בע"מ</v>
          </cell>
          <cell r="J150">
            <v>0.5</v>
          </cell>
          <cell r="K150" t="str">
            <v>₪</v>
          </cell>
          <cell r="L150">
            <v>4000</v>
          </cell>
          <cell r="M150" t="str">
            <v>יח'</v>
          </cell>
          <cell r="N150">
            <v>2000</v>
          </cell>
        </row>
        <row r="151">
          <cell r="B151" t="str">
            <v>MS 122076</v>
          </cell>
          <cell r="C151">
            <v>44688</v>
          </cell>
          <cell r="D151">
            <v>1</v>
          </cell>
          <cell r="E151" t="str">
            <v>קשיח</v>
          </cell>
          <cell r="F151" t="str">
            <v>01.0008</v>
          </cell>
          <cell r="G151">
            <v>46054</v>
          </cell>
          <cell r="H151" t="str">
            <v>01.0008</v>
          </cell>
          <cell r="I151" t="str">
            <v>לוונשטיין טכנולוגיות בע"מ</v>
          </cell>
          <cell r="J151">
            <v>0.5</v>
          </cell>
          <cell r="K151" t="str">
            <v>₪</v>
          </cell>
          <cell r="L151">
            <v>4000</v>
          </cell>
          <cell r="M151" t="str">
            <v>יח'</v>
          </cell>
          <cell r="N151">
            <v>2000</v>
          </cell>
        </row>
        <row r="152">
          <cell r="B152" t="str">
            <v>MS122076,  4-40 X 1D</v>
          </cell>
          <cell r="C152">
            <v>42780</v>
          </cell>
          <cell r="D152">
            <v>1</v>
          </cell>
          <cell r="E152" t="str">
            <v>קשיח</v>
          </cell>
          <cell r="F152" t="str">
            <v>01.0008</v>
          </cell>
          <cell r="G152">
            <v>45984</v>
          </cell>
          <cell r="H152" t="str">
            <v>01.0008</v>
          </cell>
          <cell r="I152" t="str">
            <v>דר טכנולוגיות בע"מ</v>
          </cell>
          <cell r="J152">
            <v>0.42</v>
          </cell>
          <cell r="K152" t="str">
            <v>₪</v>
          </cell>
          <cell r="M152" t="str">
            <v>יח'</v>
          </cell>
        </row>
        <row r="153">
          <cell r="B153" t="str">
            <v>MS122076,  4-40 X 1D</v>
          </cell>
          <cell r="C153">
            <v>40564</v>
          </cell>
          <cell r="D153">
            <v>1</v>
          </cell>
          <cell r="E153" t="str">
            <v>קשיח</v>
          </cell>
          <cell r="F153" t="str">
            <v>01.0008</v>
          </cell>
          <cell r="G153">
            <v>45767</v>
          </cell>
          <cell r="H153" t="str">
            <v>01.0008</v>
          </cell>
          <cell r="I153" t="str">
            <v>דר טכנולוגיות בע"מ</v>
          </cell>
          <cell r="J153">
            <v>0.42</v>
          </cell>
          <cell r="K153" t="str">
            <v>₪</v>
          </cell>
          <cell r="L153">
            <v>3000</v>
          </cell>
          <cell r="M153" t="str">
            <v>יח'</v>
          </cell>
          <cell r="N153">
            <v>1260</v>
          </cell>
        </row>
        <row r="154">
          <cell r="B154" t="str">
            <v>MS122076,  4-40 X 1D</v>
          </cell>
          <cell r="C154">
            <v>40524</v>
          </cell>
          <cell r="D154">
            <v>1</v>
          </cell>
          <cell r="E154" t="str">
            <v>קשיח</v>
          </cell>
          <cell r="F154" t="str">
            <v>01.0008</v>
          </cell>
          <cell r="G154">
            <v>45762</v>
          </cell>
          <cell r="H154" t="str">
            <v>01.0008</v>
          </cell>
          <cell r="I154" t="str">
            <v>דר טכנולוגיות בע"מ</v>
          </cell>
          <cell r="J154">
            <v>0.42</v>
          </cell>
          <cell r="K154" t="str">
            <v>₪</v>
          </cell>
          <cell r="L154">
            <v>3000</v>
          </cell>
          <cell r="M154" t="str">
            <v>יח'</v>
          </cell>
          <cell r="N154">
            <v>1260</v>
          </cell>
        </row>
        <row r="155">
          <cell r="B155" t="str">
            <v>MS122076,  4-40 X 1D</v>
          </cell>
          <cell r="C155">
            <v>40357</v>
          </cell>
          <cell r="D155">
            <v>1</v>
          </cell>
          <cell r="E155" t="str">
            <v>קשיח</v>
          </cell>
          <cell r="F155" t="str">
            <v>01.0008</v>
          </cell>
          <cell r="G155">
            <v>45747</v>
          </cell>
          <cell r="H155" t="str">
            <v>01.0008</v>
          </cell>
          <cell r="I155" t="str">
            <v>דר טכנולוגיות בע"מ</v>
          </cell>
          <cell r="J155">
            <v>0.42</v>
          </cell>
          <cell r="K155" t="str">
            <v>₪</v>
          </cell>
          <cell r="L155">
            <v>1000</v>
          </cell>
          <cell r="M155" t="str">
            <v>יח'</v>
          </cell>
          <cell r="N155">
            <v>420</v>
          </cell>
        </row>
        <row r="156">
          <cell r="B156" t="str">
            <v>MS122076,  4-40 X 1D</v>
          </cell>
          <cell r="C156">
            <v>40012</v>
          </cell>
          <cell r="D156">
            <v>1</v>
          </cell>
          <cell r="E156" t="str">
            <v>קשיח</v>
          </cell>
          <cell r="F156" t="str">
            <v>01.0008</v>
          </cell>
          <cell r="G156">
            <v>45718</v>
          </cell>
          <cell r="H156" t="str">
            <v>01.0008</v>
          </cell>
          <cell r="I156" t="str">
            <v>לוונשטיין טכנולוגיות בע"מ</v>
          </cell>
          <cell r="J156">
            <v>0.47499999999999998</v>
          </cell>
          <cell r="K156" t="str">
            <v>₪</v>
          </cell>
          <cell r="L156">
            <v>3000</v>
          </cell>
          <cell r="M156" t="str">
            <v>יח'</v>
          </cell>
          <cell r="N156">
            <v>1425</v>
          </cell>
        </row>
        <row r="157">
          <cell r="B157" t="str">
            <v>MS 122076</v>
          </cell>
          <cell r="C157">
            <v>39997</v>
          </cell>
          <cell r="D157">
            <v>1</v>
          </cell>
          <cell r="E157" t="str">
            <v>קשיח</v>
          </cell>
          <cell r="F157" t="str">
            <v>01.0008</v>
          </cell>
          <cell r="G157">
            <v>45715</v>
          </cell>
          <cell r="H157" t="str">
            <v>01.0008</v>
          </cell>
          <cell r="I157" t="str">
            <v>דר טכנולוגיות בע"מ</v>
          </cell>
          <cell r="J157">
            <v>0.42</v>
          </cell>
          <cell r="K157" t="str">
            <v>₪</v>
          </cell>
          <cell r="L157">
            <v>5000</v>
          </cell>
          <cell r="M157" t="str">
            <v>יח'</v>
          </cell>
          <cell r="N157">
            <v>2100</v>
          </cell>
        </row>
        <row r="158">
          <cell r="B158" t="str">
            <v>MS 122076</v>
          </cell>
          <cell r="C158">
            <v>39997</v>
          </cell>
          <cell r="D158">
            <v>2</v>
          </cell>
          <cell r="E158" t="str">
            <v>קשיח</v>
          </cell>
          <cell r="F158" t="str">
            <v>01.0008</v>
          </cell>
          <cell r="G158">
            <v>45715</v>
          </cell>
          <cell r="H158" t="str">
            <v>01.0008</v>
          </cell>
          <cell r="I158" t="str">
            <v>דר טכנולוגיות בע"מ</v>
          </cell>
          <cell r="J158">
            <v>0.42</v>
          </cell>
          <cell r="K158" t="str">
            <v>₪</v>
          </cell>
          <cell r="L158">
            <v>5000</v>
          </cell>
          <cell r="M158" t="str">
            <v>יח'</v>
          </cell>
          <cell r="N158">
            <v>2100</v>
          </cell>
        </row>
        <row r="159">
          <cell r="B159" t="str">
            <v>MS 122076</v>
          </cell>
          <cell r="C159">
            <v>39997</v>
          </cell>
          <cell r="D159">
            <v>3</v>
          </cell>
          <cell r="E159" t="str">
            <v>קשיח</v>
          </cell>
          <cell r="F159" t="str">
            <v>01.0008</v>
          </cell>
          <cell r="G159">
            <v>45715</v>
          </cell>
          <cell r="H159" t="str">
            <v>01.0008</v>
          </cell>
          <cell r="I159" t="str">
            <v>דר טכנולוגיות בע"מ</v>
          </cell>
          <cell r="J159">
            <v>0.42</v>
          </cell>
          <cell r="K159" t="str">
            <v>₪</v>
          </cell>
          <cell r="L159">
            <v>5000</v>
          </cell>
          <cell r="M159" t="str">
            <v>יח'</v>
          </cell>
          <cell r="N159">
            <v>2100</v>
          </cell>
        </row>
        <row r="160">
          <cell r="B160" t="str">
            <v>MS 122076</v>
          </cell>
          <cell r="C160">
            <v>39997</v>
          </cell>
          <cell r="D160">
            <v>4</v>
          </cell>
          <cell r="E160" t="str">
            <v>קשיח</v>
          </cell>
          <cell r="F160" t="str">
            <v>01.0008</v>
          </cell>
          <cell r="G160">
            <v>45715</v>
          </cell>
          <cell r="H160" t="str">
            <v>01.0008</v>
          </cell>
          <cell r="I160" t="str">
            <v>דר טכנולוגיות בע"מ</v>
          </cell>
          <cell r="J160">
            <v>0.42</v>
          </cell>
          <cell r="K160" t="str">
            <v>₪</v>
          </cell>
          <cell r="L160">
            <v>5000</v>
          </cell>
          <cell r="M160" t="str">
            <v>יח'</v>
          </cell>
          <cell r="N160">
            <v>2100</v>
          </cell>
        </row>
        <row r="161">
          <cell r="B161" t="str">
            <v>MS 122076</v>
          </cell>
          <cell r="C161">
            <v>39997</v>
          </cell>
          <cell r="D161">
            <v>5</v>
          </cell>
          <cell r="E161" t="str">
            <v>קשיח</v>
          </cell>
          <cell r="F161" t="str">
            <v>01.0008</v>
          </cell>
          <cell r="G161">
            <v>45715</v>
          </cell>
          <cell r="H161" t="str">
            <v>01.0008</v>
          </cell>
          <cell r="I161" t="str">
            <v>דר טכנולוגיות בע"מ</v>
          </cell>
          <cell r="J161">
            <v>0.42</v>
          </cell>
          <cell r="K161" t="str">
            <v>₪</v>
          </cell>
          <cell r="L161">
            <v>5000</v>
          </cell>
          <cell r="M161" t="str">
            <v>יח'</v>
          </cell>
          <cell r="N161">
            <v>2100</v>
          </cell>
        </row>
        <row r="162">
          <cell r="B162" t="str">
            <v>MS 122076</v>
          </cell>
          <cell r="C162">
            <v>39997</v>
          </cell>
          <cell r="D162">
            <v>6</v>
          </cell>
          <cell r="E162" t="str">
            <v>קשיח</v>
          </cell>
          <cell r="F162" t="str">
            <v>01.0008</v>
          </cell>
          <cell r="G162">
            <v>45715</v>
          </cell>
          <cell r="H162" t="str">
            <v>01.0008</v>
          </cell>
          <cell r="I162" t="str">
            <v>דר טכנולוגיות בע"מ</v>
          </cell>
          <cell r="J162">
            <v>0.42</v>
          </cell>
          <cell r="K162" t="str">
            <v>₪</v>
          </cell>
          <cell r="L162">
            <v>5000</v>
          </cell>
          <cell r="M162" t="str">
            <v>יח'</v>
          </cell>
          <cell r="N162">
            <v>2100</v>
          </cell>
        </row>
        <row r="163">
          <cell r="B163" t="str">
            <v>MS 122076</v>
          </cell>
          <cell r="C163">
            <v>39997</v>
          </cell>
          <cell r="D163">
            <v>7</v>
          </cell>
          <cell r="E163" t="str">
            <v>קשיח</v>
          </cell>
          <cell r="F163" t="str">
            <v>01.0008</v>
          </cell>
          <cell r="G163">
            <v>45715</v>
          </cell>
          <cell r="H163" t="str">
            <v>01.0008</v>
          </cell>
          <cell r="I163" t="str">
            <v>דר טכנולוגיות בע"מ</v>
          </cell>
          <cell r="J163">
            <v>0.42</v>
          </cell>
          <cell r="K163" t="str">
            <v>₪</v>
          </cell>
          <cell r="L163">
            <v>5000</v>
          </cell>
          <cell r="M163" t="str">
            <v>יח'</v>
          </cell>
          <cell r="N163">
            <v>2100</v>
          </cell>
        </row>
        <row r="164">
          <cell r="B164" t="str">
            <v>MS 122076</v>
          </cell>
          <cell r="C164">
            <v>39997</v>
          </cell>
          <cell r="D164">
            <v>8</v>
          </cell>
          <cell r="E164" t="str">
            <v>קשיח</v>
          </cell>
          <cell r="F164" t="str">
            <v>01.0008</v>
          </cell>
          <cell r="G164">
            <v>45715</v>
          </cell>
          <cell r="H164" t="str">
            <v>01.0008</v>
          </cell>
          <cell r="I164" t="str">
            <v>דר טכנולוגיות בע"מ</v>
          </cell>
          <cell r="J164">
            <v>0.42</v>
          </cell>
          <cell r="K164" t="str">
            <v>₪</v>
          </cell>
          <cell r="L164">
            <v>5000</v>
          </cell>
          <cell r="M164" t="str">
            <v>יח'</v>
          </cell>
          <cell r="N164">
            <v>2100</v>
          </cell>
        </row>
        <row r="165">
          <cell r="B165" t="str">
            <v>MS 122076</v>
          </cell>
          <cell r="C165">
            <v>39997</v>
          </cell>
          <cell r="D165">
            <v>9</v>
          </cell>
          <cell r="E165" t="str">
            <v>קשיח</v>
          </cell>
          <cell r="F165" t="str">
            <v>01.0008</v>
          </cell>
          <cell r="G165">
            <v>45715</v>
          </cell>
          <cell r="H165" t="str">
            <v>01.0008</v>
          </cell>
          <cell r="I165" t="str">
            <v>דר טכנולוגיות בע"מ</v>
          </cell>
          <cell r="J165">
            <v>0.42</v>
          </cell>
          <cell r="K165" t="str">
            <v>₪</v>
          </cell>
          <cell r="L165">
            <v>5000</v>
          </cell>
          <cell r="M165" t="str">
            <v>יח'</v>
          </cell>
          <cell r="N165">
            <v>2100</v>
          </cell>
        </row>
        <row r="166">
          <cell r="B166" t="str">
            <v>MS 122076</v>
          </cell>
          <cell r="C166">
            <v>39997</v>
          </cell>
          <cell r="D166">
            <v>10</v>
          </cell>
          <cell r="E166" t="str">
            <v>קשיח</v>
          </cell>
          <cell r="F166" t="str">
            <v>01.0008</v>
          </cell>
          <cell r="G166">
            <v>45715</v>
          </cell>
          <cell r="H166" t="str">
            <v>01.0008</v>
          </cell>
          <cell r="I166" t="str">
            <v>דר טכנולוגיות בע"מ</v>
          </cell>
          <cell r="J166">
            <v>0.42</v>
          </cell>
          <cell r="K166" t="str">
            <v>₪</v>
          </cell>
          <cell r="L166">
            <v>5000</v>
          </cell>
          <cell r="M166" t="str">
            <v>יח'</v>
          </cell>
          <cell r="N166">
            <v>2100</v>
          </cell>
        </row>
        <row r="167">
          <cell r="B167" t="str">
            <v>MS122076,  4-40 X 1D</v>
          </cell>
          <cell r="C167">
            <v>39775</v>
          </cell>
          <cell r="D167">
            <v>1</v>
          </cell>
          <cell r="E167" t="str">
            <v>קשיח</v>
          </cell>
          <cell r="F167" t="str">
            <v>01.0008</v>
          </cell>
          <cell r="G167">
            <v>45698</v>
          </cell>
          <cell r="H167" t="str">
            <v>01.0008</v>
          </cell>
          <cell r="I167" t="str">
            <v>דר טכנולוגיות בע"מ</v>
          </cell>
          <cell r="J167">
            <v>0.42</v>
          </cell>
          <cell r="K167" t="str">
            <v>₪</v>
          </cell>
          <cell r="L167">
            <v>4000</v>
          </cell>
          <cell r="M167" t="str">
            <v>יח'</v>
          </cell>
          <cell r="N167">
            <v>1680</v>
          </cell>
        </row>
        <row r="168">
          <cell r="B168" t="str">
            <v>MS 122076</v>
          </cell>
          <cell r="C168">
            <v>39777</v>
          </cell>
          <cell r="D168">
            <v>1</v>
          </cell>
          <cell r="E168" t="str">
            <v>קשיח</v>
          </cell>
          <cell r="F168" t="str">
            <v>01.0008</v>
          </cell>
          <cell r="G168">
            <v>45698</v>
          </cell>
          <cell r="H168" t="str">
            <v>01.0008</v>
          </cell>
          <cell r="I168" t="str">
            <v>לוונשטיין טכנולוגיות בע"מ</v>
          </cell>
          <cell r="J168">
            <v>0</v>
          </cell>
          <cell r="K168" t="str">
            <v>₪</v>
          </cell>
          <cell r="L168">
            <v>3000</v>
          </cell>
          <cell r="M168" t="str">
            <v>יח'</v>
          </cell>
          <cell r="N168">
            <v>0</v>
          </cell>
        </row>
        <row r="169">
          <cell r="B169" t="str">
            <v>MS 122076</v>
          </cell>
          <cell r="C169">
            <v>39777</v>
          </cell>
          <cell r="D169">
            <v>2</v>
          </cell>
          <cell r="E169" t="str">
            <v>קשיח</v>
          </cell>
          <cell r="F169" t="str">
            <v>01.0008</v>
          </cell>
          <cell r="G169">
            <v>45698</v>
          </cell>
          <cell r="H169" t="str">
            <v>01.0008</v>
          </cell>
          <cell r="I169" t="str">
            <v>לוונשטיין טכנולוגיות בע"מ</v>
          </cell>
          <cell r="J169">
            <v>0</v>
          </cell>
          <cell r="K169" t="str">
            <v>₪</v>
          </cell>
          <cell r="L169">
            <v>3000</v>
          </cell>
          <cell r="M169" t="str">
            <v>יח'</v>
          </cell>
          <cell r="N169">
            <v>0</v>
          </cell>
        </row>
        <row r="170">
          <cell r="B170" t="str">
            <v>MS 122076</v>
          </cell>
          <cell r="C170">
            <v>39777</v>
          </cell>
          <cell r="D170">
            <v>3</v>
          </cell>
          <cell r="E170" t="str">
            <v>קשיח</v>
          </cell>
          <cell r="F170" t="str">
            <v>01.0008</v>
          </cell>
          <cell r="G170">
            <v>45698</v>
          </cell>
          <cell r="H170" t="str">
            <v>01.0008</v>
          </cell>
          <cell r="I170" t="str">
            <v>לוונשטיין טכנולוגיות בע"מ</v>
          </cell>
          <cell r="J170">
            <v>0.48</v>
          </cell>
          <cell r="K170" t="str">
            <v>₪</v>
          </cell>
          <cell r="L170">
            <v>1000</v>
          </cell>
          <cell r="M170" t="str">
            <v>יח'</v>
          </cell>
          <cell r="N170">
            <v>480</v>
          </cell>
        </row>
        <row r="171">
          <cell r="B171" t="str">
            <v>MS 122076</v>
          </cell>
          <cell r="C171">
            <v>39777</v>
          </cell>
          <cell r="D171">
            <v>4</v>
          </cell>
          <cell r="E171" t="str">
            <v>קשיח</v>
          </cell>
          <cell r="F171" t="str">
            <v>01.0008</v>
          </cell>
          <cell r="G171">
            <v>45698</v>
          </cell>
          <cell r="H171" t="str">
            <v>01.0008</v>
          </cell>
          <cell r="I171" t="str">
            <v>לוונשטיין טכנולוגיות בע"מ</v>
          </cell>
          <cell r="J171">
            <v>0.47499999999999998</v>
          </cell>
          <cell r="K171" t="str">
            <v>₪</v>
          </cell>
          <cell r="L171">
            <v>3000</v>
          </cell>
          <cell r="M171" t="str">
            <v>יח'</v>
          </cell>
          <cell r="N171">
            <v>1425</v>
          </cell>
        </row>
        <row r="172">
          <cell r="B172" t="str">
            <v>MS 122076</v>
          </cell>
          <cell r="C172">
            <v>39777</v>
          </cell>
          <cell r="D172">
            <v>5</v>
          </cell>
          <cell r="E172" t="str">
            <v>קשיח</v>
          </cell>
          <cell r="F172" t="str">
            <v>01.0008</v>
          </cell>
          <cell r="G172">
            <v>45698</v>
          </cell>
          <cell r="H172" t="str">
            <v>01.0008</v>
          </cell>
          <cell r="I172" t="str">
            <v>לוונשטיין טכנולוגיות בע"מ</v>
          </cell>
          <cell r="J172">
            <v>0.47499999999999998</v>
          </cell>
          <cell r="K172" t="str">
            <v>₪</v>
          </cell>
          <cell r="L172">
            <v>3000</v>
          </cell>
          <cell r="M172" t="str">
            <v>יח'</v>
          </cell>
          <cell r="N172">
            <v>1425</v>
          </cell>
        </row>
        <row r="173">
          <cell r="B173" t="str">
            <v>MS 122076</v>
          </cell>
          <cell r="C173">
            <v>39777</v>
          </cell>
          <cell r="D173">
            <v>6</v>
          </cell>
          <cell r="E173" t="str">
            <v>קשיח</v>
          </cell>
          <cell r="F173" t="str">
            <v>01.0008</v>
          </cell>
          <cell r="G173">
            <v>45698</v>
          </cell>
          <cell r="H173" t="str">
            <v>01.0008</v>
          </cell>
          <cell r="I173" t="str">
            <v>לוונשטיין טכנולוגיות בע"מ</v>
          </cell>
          <cell r="J173">
            <v>0.47499999999999998</v>
          </cell>
          <cell r="K173" t="str">
            <v>₪</v>
          </cell>
          <cell r="L173">
            <v>3000</v>
          </cell>
          <cell r="M173" t="str">
            <v>יח'</v>
          </cell>
          <cell r="N173">
            <v>1425</v>
          </cell>
        </row>
        <row r="174">
          <cell r="B174" t="str">
            <v>MS 122076</v>
          </cell>
          <cell r="C174">
            <v>39777</v>
          </cell>
          <cell r="D174">
            <v>7</v>
          </cell>
          <cell r="E174" t="str">
            <v>קשיח</v>
          </cell>
          <cell r="F174" t="str">
            <v>01.0008</v>
          </cell>
          <cell r="G174">
            <v>45698</v>
          </cell>
          <cell r="H174" t="str">
            <v>01.0008</v>
          </cell>
          <cell r="I174" t="str">
            <v>לוונשטיין טכנולוגיות בע"מ</v>
          </cell>
          <cell r="J174">
            <v>0.47499999999999998</v>
          </cell>
          <cell r="K174" t="str">
            <v>₪</v>
          </cell>
          <cell r="L174">
            <v>3000</v>
          </cell>
          <cell r="M174" t="str">
            <v>יח'</v>
          </cell>
          <cell r="N174">
            <v>1425</v>
          </cell>
        </row>
        <row r="175">
          <cell r="B175" t="str">
            <v>MS 122076</v>
          </cell>
          <cell r="C175">
            <v>39777</v>
          </cell>
          <cell r="D175">
            <v>8</v>
          </cell>
          <cell r="E175" t="str">
            <v>קשיח</v>
          </cell>
          <cell r="F175" t="str">
            <v>01.0008</v>
          </cell>
          <cell r="G175">
            <v>45698</v>
          </cell>
          <cell r="H175" t="str">
            <v>01.0008</v>
          </cell>
          <cell r="I175" t="str">
            <v>לוונשטיין טכנולוגיות בע"מ</v>
          </cell>
          <cell r="J175">
            <v>0.47499999999999998</v>
          </cell>
          <cell r="K175" t="str">
            <v>₪</v>
          </cell>
          <cell r="L175">
            <v>2000</v>
          </cell>
          <cell r="M175" t="str">
            <v>יח'</v>
          </cell>
          <cell r="N175">
            <v>950</v>
          </cell>
        </row>
        <row r="176">
          <cell r="B176" t="str">
            <v>MS 122076</v>
          </cell>
          <cell r="C176">
            <v>39777</v>
          </cell>
          <cell r="D176">
            <v>9</v>
          </cell>
          <cell r="E176" t="str">
            <v>קשיח</v>
          </cell>
          <cell r="F176" t="str">
            <v>01.0008</v>
          </cell>
          <cell r="G176">
            <v>45698</v>
          </cell>
          <cell r="H176" t="str">
            <v>01.0008</v>
          </cell>
          <cell r="I176" t="str">
            <v>לוונשטיין טכנולוגיות בע"מ</v>
          </cell>
          <cell r="J176">
            <v>0.47499999999999998</v>
          </cell>
          <cell r="K176" t="str">
            <v>₪</v>
          </cell>
          <cell r="L176">
            <v>3000</v>
          </cell>
          <cell r="M176" t="str">
            <v>יח'</v>
          </cell>
          <cell r="N176">
            <v>1425</v>
          </cell>
        </row>
        <row r="177">
          <cell r="B177" t="str">
            <v>MS 122076</v>
          </cell>
          <cell r="C177">
            <v>39777</v>
          </cell>
          <cell r="D177">
            <v>10</v>
          </cell>
          <cell r="E177" t="str">
            <v>קשיח</v>
          </cell>
          <cell r="F177" t="str">
            <v>01.0008</v>
          </cell>
          <cell r="G177">
            <v>45698</v>
          </cell>
          <cell r="H177" t="str">
            <v>01.0008</v>
          </cell>
          <cell r="I177" t="str">
            <v>לוונשטיין טכנולוגיות בע"מ</v>
          </cell>
          <cell r="J177">
            <v>0.47499999999999998</v>
          </cell>
          <cell r="K177" t="str">
            <v>₪</v>
          </cell>
          <cell r="L177">
            <v>2000</v>
          </cell>
          <cell r="M177" t="str">
            <v>יח'</v>
          </cell>
          <cell r="N177">
            <v>950</v>
          </cell>
        </row>
        <row r="178">
          <cell r="B178" t="str">
            <v>MS 122076</v>
          </cell>
          <cell r="C178">
            <v>39777</v>
          </cell>
          <cell r="D178">
            <v>11</v>
          </cell>
          <cell r="E178" t="str">
            <v>קשיח</v>
          </cell>
          <cell r="F178" t="str">
            <v>01.0008</v>
          </cell>
          <cell r="G178">
            <v>45698</v>
          </cell>
          <cell r="H178" t="str">
            <v>01.0008</v>
          </cell>
          <cell r="I178" t="str">
            <v>לוונשטיין טכנולוגיות בע"מ</v>
          </cell>
          <cell r="J178">
            <v>0.47499999999999998</v>
          </cell>
          <cell r="K178" t="str">
            <v>₪</v>
          </cell>
          <cell r="L178">
            <v>3000</v>
          </cell>
          <cell r="M178" t="str">
            <v>יח'</v>
          </cell>
          <cell r="N178">
            <v>1425</v>
          </cell>
        </row>
        <row r="179">
          <cell r="B179" t="str">
            <v>MS122076,  4-40 X 1D</v>
          </cell>
          <cell r="C179">
            <v>39754</v>
          </cell>
          <cell r="D179">
            <v>1</v>
          </cell>
          <cell r="E179" t="str">
            <v>קשיח</v>
          </cell>
          <cell r="F179" t="str">
            <v>01.0008</v>
          </cell>
          <cell r="G179">
            <v>45697</v>
          </cell>
          <cell r="H179" t="str">
            <v>01.0008</v>
          </cell>
          <cell r="I179" t="str">
            <v>דר טכנולוגיות בע"מ</v>
          </cell>
          <cell r="J179">
            <v>0.42</v>
          </cell>
          <cell r="K179" t="str">
            <v>₪</v>
          </cell>
          <cell r="L179">
            <v>3000</v>
          </cell>
          <cell r="M179" t="str">
            <v>יח'</v>
          </cell>
          <cell r="N179">
            <v>1260</v>
          </cell>
        </row>
        <row r="180">
          <cell r="B180" t="str">
            <v>MS122076,  4-40 X 1D</v>
          </cell>
          <cell r="C180">
            <v>39731</v>
          </cell>
          <cell r="D180">
            <v>1</v>
          </cell>
          <cell r="E180" t="str">
            <v>קשיח</v>
          </cell>
          <cell r="F180" t="str">
            <v>01.0008</v>
          </cell>
          <cell r="G180">
            <v>45694</v>
          </cell>
          <cell r="H180" t="str">
            <v>01.0008</v>
          </cell>
          <cell r="I180" t="str">
            <v>דר טכנולוגיות בע"מ</v>
          </cell>
          <cell r="J180">
            <v>0.42</v>
          </cell>
          <cell r="K180" t="str">
            <v>₪</v>
          </cell>
          <cell r="L180">
            <v>3000</v>
          </cell>
          <cell r="M180" t="str">
            <v>יח'</v>
          </cell>
          <cell r="N180">
            <v>1260</v>
          </cell>
        </row>
        <row r="181">
          <cell r="B181" t="str">
            <v>MS122076,  4-40 X 1D</v>
          </cell>
          <cell r="C181">
            <v>39603</v>
          </cell>
          <cell r="D181">
            <v>1</v>
          </cell>
          <cell r="E181" t="str">
            <v>קשיח</v>
          </cell>
          <cell r="F181" t="str">
            <v>01.0008</v>
          </cell>
          <cell r="G181">
            <v>45684</v>
          </cell>
          <cell r="H181" t="str">
            <v>01.0008</v>
          </cell>
          <cell r="I181" t="str">
            <v>דר טכנולוגיות בע"מ</v>
          </cell>
          <cell r="J181">
            <v>0.42</v>
          </cell>
          <cell r="K181" t="str">
            <v>₪</v>
          </cell>
          <cell r="L181">
            <v>1000</v>
          </cell>
          <cell r="M181" t="str">
            <v>יח'</v>
          </cell>
          <cell r="N181">
            <v>420</v>
          </cell>
        </row>
        <row r="182">
          <cell r="B182" t="str">
            <v>MS122076,  4-40 X 1D</v>
          </cell>
          <cell r="C182">
            <v>39576</v>
          </cell>
          <cell r="D182">
            <v>1</v>
          </cell>
          <cell r="E182" t="str">
            <v>קשיח</v>
          </cell>
          <cell r="F182" t="str">
            <v>01.0008</v>
          </cell>
          <cell r="G182">
            <v>45680</v>
          </cell>
          <cell r="H182" t="str">
            <v>01.0008</v>
          </cell>
          <cell r="I182" t="str">
            <v>דר טכנולוגיות בע"מ</v>
          </cell>
          <cell r="J182">
            <v>0.42</v>
          </cell>
          <cell r="K182" t="str">
            <v>₪</v>
          </cell>
          <cell r="L182">
            <v>1000</v>
          </cell>
          <cell r="M182" t="str">
            <v>יח'</v>
          </cell>
          <cell r="N182">
            <v>420</v>
          </cell>
        </row>
        <row r="183">
          <cell r="B183" t="str">
            <v>MS122076,  4-40 X 1D</v>
          </cell>
          <cell r="C183">
            <v>39529</v>
          </cell>
          <cell r="D183">
            <v>1</v>
          </cell>
          <cell r="E183" t="str">
            <v>קשיח</v>
          </cell>
          <cell r="F183" t="str">
            <v>01.0008</v>
          </cell>
          <cell r="G183">
            <v>45676</v>
          </cell>
          <cell r="H183" t="str">
            <v>01.0008</v>
          </cell>
          <cell r="I183" t="str">
            <v>דר טכנולוגיות בע"מ</v>
          </cell>
          <cell r="J183">
            <v>0.42</v>
          </cell>
          <cell r="K183" t="str">
            <v>₪</v>
          </cell>
          <cell r="L183">
            <v>2000</v>
          </cell>
          <cell r="M183" t="str">
            <v>יח'</v>
          </cell>
          <cell r="N183">
            <v>840</v>
          </cell>
        </row>
        <row r="184">
          <cell r="B184" t="str">
            <v>MS122076,  4-40 X 1D</v>
          </cell>
          <cell r="C184">
            <v>39427</v>
          </cell>
          <cell r="D184">
            <v>1</v>
          </cell>
          <cell r="E184" t="str">
            <v>קשיח</v>
          </cell>
          <cell r="F184" t="str">
            <v>01.0008</v>
          </cell>
          <cell r="G184">
            <v>45665</v>
          </cell>
          <cell r="H184" t="str">
            <v>01.0008</v>
          </cell>
          <cell r="I184" t="str">
            <v>דר טכנולוגיות בע"מ</v>
          </cell>
          <cell r="J184">
            <v>0.42</v>
          </cell>
          <cell r="K184" t="str">
            <v>₪</v>
          </cell>
          <cell r="L184">
            <v>3000</v>
          </cell>
          <cell r="M184" t="str">
            <v>יח'</v>
          </cell>
          <cell r="N184">
            <v>1260</v>
          </cell>
        </row>
        <row r="185">
          <cell r="B185" t="str">
            <v>MS122076,  4-40 X 1D</v>
          </cell>
          <cell r="C185">
            <v>39185</v>
          </cell>
          <cell r="D185">
            <v>1</v>
          </cell>
          <cell r="E185" t="str">
            <v>קשיח</v>
          </cell>
          <cell r="F185" t="str">
            <v>01.0008</v>
          </cell>
          <cell r="G185">
            <v>45644</v>
          </cell>
          <cell r="H185" t="str">
            <v>01.0008</v>
          </cell>
          <cell r="I185" t="str">
            <v>דר טכנולוגיות בע"מ</v>
          </cell>
          <cell r="J185">
            <v>0.42</v>
          </cell>
          <cell r="K185" t="str">
            <v>₪</v>
          </cell>
          <cell r="L185">
            <v>1000</v>
          </cell>
          <cell r="M185" t="str">
            <v>יח'</v>
          </cell>
          <cell r="N185">
            <v>420</v>
          </cell>
        </row>
        <row r="186">
          <cell r="B186" t="str">
            <v>MS 122076</v>
          </cell>
          <cell r="C186">
            <v>38933</v>
          </cell>
          <cell r="D186">
            <v>1</v>
          </cell>
          <cell r="E186" t="str">
            <v>קשיח</v>
          </cell>
          <cell r="F186" t="str">
            <v>01.0008</v>
          </cell>
          <cell r="G186">
            <v>45622</v>
          </cell>
          <cell r="H186" t="str">
            <v>01.0008</v>
          </cell>
          <cell r="I186" t="str">
            <v>לוונשטיין טכנולוגיות בע"מ</v>
          </cell>
          <cell r="J186">
            <v>0.49</v>
          </cell>
          <cell r="K186" t="str">
            <v>₪</v>
          </cell>
          <cell r="L186">
            <v>3000</v>
          </cell>
          <cell r="M186" t="str">
            <v>יח'</v>
          </cell>
          <cell r="N186">
            <v>1470</v>
          </cell>
        </row>
        <row r="187">
          <cell r="B187" t="str">
            <v>MS122076,  4-40 X 1D</v>
          </cell>
          <cell r="C187">
            <v>38650</v>
          </cell>
          <cell r="D187">
            <v>1</v>
          </cell>
          <cell r="E187" t="str">
            <v>קשיח</v>
          </cell>
          <cell r="F187" t="str">
            <v>01.0008</v>
          </cell>
          <cell r="G187">
            <v>45593</v>
          </cell>
          <cell r="H187" t="str">
            <v>01.0008</v>
          </cell>
          <cell r="I187" t="str">
            <v>לוונשטיין טכנולוגיות בע"מ</v>
          </cell>
          <cell r="J187">
            <v>0.49</v>
          </cell>
          <cell r="K187" t="str">
            <v>₪</v>
          </cell>
          <cell r="L187">
            <v>3000</v>
          </cell>
          <cell r="M187" t="str">
            <v>יח'</v>
          </cell>
          <cell r="N187">
            <v>1470</v>
          </cell>
        </row>
        <row r="188">
          <cell r="B188" t="str">
            <v>MS122076,  4-40 X 1D</v>
          </cell>
          <cell r="C188">
            <v>38504</v>
          </cell>
          <cell r="D188">
            <v>1</v>
          </cell>
          <cell r="E188" t="str">
            <v>קשיח</v>
          </cell>
          <cell r="F188" t="str">
            <v>01.0008</v>
          </cell>
          <cell r="G188">
            <v>45572</v>
          </cell>
          <cell r="H188" t="str">
            <v>01.0008</v>
          </cell>
          <cell r="I188" t="str">
            <v>לוונשטיין טכנולוגיות בע"מ</v>
          </cell>
          <cell r="J188">
            <v>0.49</v>
          </cell>
          <cell r="K188" t="str">
            <v>₪</v>
          </cell>
          <cell r="L188">
            <v>3000</v>
          </cell>
          <cell r="M188" t="str">
            <v>יח'</v>
          </cell>
          <cell r="N188">
            <v>1470</v>
          </cell>
        </row>
        <row r="189">
          <cell r="B189" t="str">
            <v>MS 122076</v>
          </cell>
          <cell r="C189">
            <v>38156</v>
          </cell>
          <cell r="D189">
            <v>2</v>
          </cell>
          <cell r="E189" t="str">
            <v>קשיח</v>
          </cell>
          <cell r="F189" t="str">
            <v>01.0008</v>
          </cell>
          <cell r="G189">
            <v>45531</v>
          </cell>
          <cell r="H189" t="str">
            <v>01.0008</v>
          </cell>
          <cell r="I189" t="str">
            <v>לוונשטיין טכנולוגיות בע"מ</v>
          </cell>
          <cell r="J189">
            <v>0.49</v>
          </cell>
          <cell r="K189" t="str">
            <v>₪</v>
          </cell>
          <cell r="L189">
            <v>3000</v>
          </cell>
          <cell r="M189" t="str">
            <v>יח'</v>
          </cell>
          <cell r="N189">
            <v>1470</v>
          </cell>
        </row>
        <row r="190">
          <cell r="B190" t="str">
            <v>MS122076,  4-40 X 1D</v>
          </cell>
          <cell r="C190">
            <v>37938</v>
          </cell>
          <cell r="D190">
            <v>1</v>
          </cell>
          <cell r="E190" t="str">
            <v>קשיח</v>
          </cell>
          <cell r="F190" t="str">
            <v>01.0008</v>
          </cell>
          <cell r="G190">
            <v>45508</v>
          </cell>
          <cell r="H190" t="str">
            <v>01.0008</v>
          </cell>
          <cell r="I190" t="str">
            <v>לוונשטיין טכנולוגיות בע"מ</v>
          </cell>
          <cell r="J190">
            <v>0.49</v>
          </cell>
          <cell r="K190" t="str">
            <v>₪</v>
          </cell>
          <cell r="L190">
            <v>2000</v>
          </cell>
          <cell r="M190" t="str">
            <v>יח'</v>
          </cell>
          <cell r="N190">
            <v>980</v>
          </cell>
        </row>
        <row r="191">
          <cell r="B191" t="str">
            <v>MS122076,  4-40 X 1D</v>
          </cell>
          <cell r="C191">
            <v>37874</v>
          </cell>
          <cell r="D191">
            <v>1</v>
          </cell>
          <cell r="E191" t="str">
            <v>קשיח</v>
          </cell>
          <cell r="F191" t="str">
            <v>01.0008</v>
          </cell>
          <cell r="G191">
            <v>45502</v>
          </cell>
          <cell r="H191" t="str">
            <v>01.0008</v>
          </cell>
          <cell r="I191" t="str">
            <v>לוונשטיין טכנולוגיות בע"מ</v>
          </cell>
          <cell r="J191">
            <v>0.49</v>
          </cell>
          <cell r="K191" t="str">
            <v>₪</v>
          </cell>
          <cell r="L191">
            <v>2000</v>
          </cell>
          <cell r="M191" t="str">
            <v>יח'</v>
          </cell>
          <cell r="N191">
            <v>980</v>
          </cell>
        </row>
        <row r="192">
          <cell r="B192" t="str">
            <v>MS 122076</v>
          </cell>
          <cell r="C192">
            <v>37484</v>
          </cell>
          <cell r="D192">
            <v>1</v>
          </cell>
          <cell r="E192" t="str">
            <v>קשיח</v>
          </cell>
          <cell r="F192" t="str">
            <v>01.0008</v>
          </cell>
          <cell r="G192">
            <v>45459</v>
          </cell>
          <cell r="H192" t="str">
            <v>01.0008</v>
          </cell>
          <cell r="I192" t="str">
            <v>לוונשטיין טכנולוגיות בע"מ</v>
          </cell>
          <cell r="J192">
            <v>0.49</v>
          </cell>
          <cell r="K192" t="str">
            <v>₪</v>
          </cell>
          <cell r="L192">
            <v>3000</v>
          </cell>
          <cell r="M192" t="str">
            <v>יח'</v>
          </cell>
          <cell r="N192">
            <v>1470</v>
          </cell>
        </row>
        <row r="193">
          <cell r="B193" t="str">
            <v>MS122076,  4-40 X 1D</v>
          </cell>
          <cell r="C193">
            <v>37385</v>
          </cell>
          <cell r="D193">
            <v>1</v>
          </cell>
          <cell r="E193" t="str">
            <v>קשיח</v>
          </cell>
          <cell r="F193" t="str">
            <v>01.0008</v>
          </cell>
          <cell r="G193">
            <v>45447</v>
          </cell>
          <cell r="H193" t="str">
            <v>01.0008</v>
          </cell>
          <cell r="I193" t="str">
            <v>לוונשטיין טכנולוגיות בע"מ</v>
          </cell>
          <cell r="J193">
            <v>0.49</v>
          </cell>
          <cell r="K193" t="str">
            <v>₪</v>
          </cell>
          <cell r="L193">
            <v>2000</v>
          </cell>
          <cell r="M193" t="str">
            <v>יח'</v>
          </cell>
          <cell r="N193">
            <v>980</v>
          </cell>
        </row>
        <row r="194">
          <cell r="B194" t="str">
            <v>MS122076,  4-40 X 1D</v>
          </cell>
          <cell r="C194">
            <v>37342</v>
          </cell>
          <cell r="D194">
            <v>1</v>
          </cell>
          <cell r="E194" t="str">
            <v>קשיח</v>
          </cell>
          <cell r="F194" t="str">
            <v>01.0008</v>
          </cell>
          <cell r="G194">
            <v>45442</v>
          </cell>
          <cell r="H194" t="str">
            <v>01.0008</v>
          </cell>
          <cell r="I194" t="str">
            <v>לוונשטיין טכנולוגיות בע"מ</v>
          </cell>
          <cell r="J194">
            <v>0.49</v>
          </cell>
          <cell r="K194" t="str">
            <v>₪</v>
          </cell>
          <cell r="L194">
            <v>1000</v>
          </cell>
          <cell r="M194" t="str">
            <v>יח'</v>
          </cell>
          <cell r="N194">
            <v>490</v>
          </cell>
        </row>
        <row r="195">
          <cell r="B195" t="str">
            <v>MS122076,  4-40 X 1D</v>
          </cell>
          <cell r="C195">
            <v>36957</v>
          </cell>
          <cell r="D195">
            <v>1</v>
          </cell>
          <cell r="E195" t="str">
            <v>קשיח</v>
          </cell>
          <cell r="F195" t="str">
            <v>01.0008</v>
          </cell>
          <cell r="G195">
            <v>45399</v>
          </cell>
          <cell r="H195" t="str">
            <v>01.0008</v>
          </cell>
          <cell r="I195" t="str">
            <v>לוונשטיין טכנולוגיות בע"מ</v>
          </cell>
          <cell r="J195">
            <v>0.49</v>
          </cell>
          <cell r="K195" t="str">
            <v>₪</v>
          </cell>
          <cell r="L195">
            <v>3000</v>
          </cell>
          <cell r="M195" t="str">
            <v>יח'</v>
          </cell>
          <cell r="N195">
            <v>1470</v>
          </cell>
        </row>
        <row r="196">
          <cell r="B196" t="str">
            <v>MS 122076</v>
          </cell>
          <cell r="C196">
            <v>35857</v>
          </cell>
          <cell r="D196">
            <v>1</v>
          </cell>
          <cell r="E196" t="str">
            <v>קשיח</v>
          </cell>
          <cell r="F196" t="str">
            <v>01.0008</v>
          </cell>
          <cell r="G196">
            <v>45279</v>
          </cell>
          <cell r="H196" t="str">
            <v>01.0008</v>
          </cell>
          <cell r="I196" t="str">
            <v>לוונשטיין טכנולוגיות בע"מ</v>
          </cell>
          <cell r="J196">
            <v>0.49</v>
          </cell>
          <cell r="K196" t="str">
            <v>₪</v>
          </cell>
          <cell r="L196">
            <v>3000</v>
          </cell>
          <cell r="M196" t="str">
            <v>יח'</v>
          </cell>
          <cell r="N196">
            <v>1470</v>
          </cell>
        </row>
        <row r="197">
          <cell r="B197" t="str">
            <v>MS 122076</v>
          </cell>
          <cell r="C197">
            <v>35744</v>
          </cell>
          <cell r="D197">
            <v>2</v>
          </cell>
          <cell r="E197" t="str">
            <v>קשיח</v>
          </cell>
          <cell r="F197" t="str">
            <v>01.0008</v>
          </cell>
          <cell r="G197">
            <v>45270</v>
          </cell>
          <cell r="H197" t="str">
            <v>01.0008</v>
          </cell>
          <cell r="I197" t="str">
            <v>לוונשטיין טכנולוגיות בע"מ</v>
          </cell>
          <cell r="J197">
            <v>0.49</v>
          </cell>
          <cell r="K197" t="str">
            <v>₪</v>
          </cell>
          <cell r="L197">
            <v>11000</v>
          </cell>
          <cell r="M197" t="str">
            <v>יח'</v>
          </cell>
          <cell r="N197">
            <v>5390</v>
          </cell>
        </row>
        <row r="198">
          <cell r="B198" t="str">
            <v>MS 122076</v>
          </cell>
          <cell r="C198">
            <v>35542</v>
          </cell>
          <cell r="D198">
            <v>1</v>
          </cell>
          <cell r="E198" t="str">
            <v>קשיח</v>
          </cell>
          <cell r="F198" t="str">
            <v>01.0008</v>
          </cell>
          <cell r="G198">
            <v>45244</v>
          </cell>
          <cell r="H198" t="str">
            <v>01.0008</v>
          </cell>
          <cell r="I198" t="str">
            <v>לוונשטיין טכנולוגיות בע"מ</v>
          </cell>
          <cell r="J198">
            <v>0.53</v>
          </cell>
          <cell r="K198" t="str">
            <v>₪</v>
          </cell>
          <cell r="L198">
            <v>3000</v>
          </cell>
          <cell r="M198" t="str">
            <v>יח'</v>
          </cell>
          <cell r="N198">
            <v>1590</v>
          </cell>
        </row>
        <row r="199">
          <cell r="B199" t="str">
            <v>MS 122076</v>
          </cell>
          <cell r="C199">
            <v>35407</v>
          </cell>
          <cell r="D199">
            <v>2</v>
          </cell>
          <cell r="E199" t="str">
            <v>קשיח</v>
          </cell>
          <cell r="F199" t="str">
            <v>01.0008</v>
          </cell>
          <cell r="G199">
            <v>45225</v>
          </cell>
          <cell r="H199" t="str">
            <v>01.0008</v>
          </cell>
          <cell r="I199" t="str">
            <v>לוונשטיין טכנולוגיות בע"מ</v>
          </cell>
          <cell r="J199">
            <v>0.53</v>
          </cell>
          <cell r="K199" t="str">
            <v>₪</v>
          </cell>
          <cell r="L199">
            <v>4000</v>
          </cell>
          <cell r="M199" t="str">
            <v>יח'</v>
          </cell>
          <cell r="N199">
            <v>2120</v>
          </cell>
        </row>
        <row r="200">
          <cell r="B200" t="str">
            <v>MS 122076</v>
          </cell>
          <cell r="C200">
            <v>35338</v>
          </cell>
          <cell r="D200">
            <v>2</v>
          </cell>
          <cell r="E200" t="str">
            <v>קשיח</v>
          </cell>
          <cell r="F200" t="str">
            <v>01.0008</v>
          </cell>
          <cell r="G200">
            <v>45216</v>
          </cell>
          <cell r="H200" t="str">
            <v>01.0008</v>
          </cell>
          <cell r="I200" t="str">
            <v>לוונשטיין טכנולוגיות בע"מ</v>
          </cell>
          <cell r="J200">
            <v>0.53</v>
          </cell>
          <cell r="K200" t="str">
            <v>₪</v>
          </cell>
          <cell r="L200">
            <v>2000</v>
          </cell>
          <cell r="M200" t="str">
            <v>יח'</v>
          </cell>
          <cell r="N200">
            <v>1060</v>
          </cell>
        </row>
        <row r="201">
          <cell r="B201" t="str">
            <v>MS 122076</v>
          </cell>
          <cell r="C201">
            <v>35281</v>
          </cell>
          <cell r="D201">
            <v>1</v>
          </cell>
          <cell r="E201" t="str">
            <v>קשיח</v>
          </cell>
          <cell r="F201" t="str">
            <v>01.0008</v>
          </cell>
          <cell r="G201">
            <v>45208</v>
          </cell>
          <cell r="H201" t="str">
            <v>01.0008</v>
          </cell>
          <cell r="I201" t="str">
            <v>לוונשטיין טכנולוגיות בע"מ</v>
          </cell>
          <cell r="J201">
            <v>0.53</v>
          </cell>
          <cell r="K201" t="str">
            <v>₪</v>
          </cell>
          <cell r="L201">
            <v>2000</v>
          </cell>
          <cell r="M201" t="str">
            <v>יח'</v>
          </cell>
          <cell r="N201">
            <v>1060</v>
          </cell>
        </row>
        <row r="202">
          <cell r="B202" t="str">
            <v>MS 122076</v>
          </cell>
          <cell r="C202">
            <v>34962</v>
          </cell>
          <cell r="D202">
            <v>1</v>
          </cell>
          <cell r="E202" t="str">
            <v>קשיח</v>
          </cell>
          <cell r="F202" t="str">
            <v>01.0008</v>
          </cell>
          <cell r="G202">
            <v>45168</v>
          </cell>
          <cell r="H202" t="str">
            <v>01.0008</v>
          </cell>
          <cell r="I202" t="str">
            <v>לוונשטיין טכנולוגיות בע"מ</v>
          </cell>
          <cell r="J202">
            <v>0.53</v>
          </cell>
          <cell r="K202" t="str">
            <v>₪</v>
          </cell>
          <cell r="L202">
            <v>3000</v>
          </cell>
          <cell r="M202" t="str">
            <v>יח'</v>
          </cell>
          <cell r="N202">
            <v>1590</v>
          </cell>
        </row>
        <row r="203">
          <cell r="B203" t="str">
            <v>MS 122076</v>
          </cell>
          <cell r="C203">
            <v>34586</v>
          </cell>
          <cell r="D203">
            <v>2</v>
          </cell>
          <cell r="E203" t="str">
            <v>קשיח</v>
          </cell>
          <cell r="F203" t="str">
            <v>01.0008</v>
          </cell>
          <cell r="G203">
            <v>45131</v>
          </cell>
          <cell r="H203" t="str">
            <v>01.0008</v>
          </cell>
          <cell r="I203" t="str">
            <v>לוונשטיין טכנולוגיות בע"מ</v>
          </cell>
          <cell r="J203">
            <v>0.53</v>
          </cell>
          <cell r="K203" t="str">
            <v>₪</v>
          </cell>
          <cell r="L203">
            <v>2000</v>
          </cell>
          <cell r="M203" t="str">
            <v>יח'</v>
          </cell>
          <cell r="N203">
            <v>1060</v>
          </cell>
        </row>
        <row r="204">
          <cell r="B204" t="str">
            <v>MS122076, INSERT, HELICAL, 4-40 X 1D Strip feed</v>
          </cell>
          <cell r="C204">
            <v>34173</v>
          </cell>
          <cell r="D204">
            <v>2</v>
          </cell>
          <cell r="E204" t="str">
            <v>קשיח</v>
          </cell>
          <cell r="F204" t="str">
            <v>01.0008</v>
          </cell>
          <cell r="G204">
            <v>45089</v>
          </cell>
          <cell r="H204" t="str">
            <v>01.0008</v>
          </cell>
          <cell r="I204" t="str">
            <v>לוונשטיין טכנולוגיות בע"מ</v>
          </cell>
          <cell r="J204">
            <v>0.53</v>
          </cell>
          <cell r="K204" t="str">
            <v>₪</v>
          </cell>
          <cell r="L204">
            <v>1000</v>
          </cell>
          <cell r="M204" t="str">
            <v>יח'</v>
          </cell>
          <cell r="N204">
            <v>530</v>
          </cell>
        </row>
        <row r="205">
          <cell r="B205" t="str">
            <v>MS122076, INSERT, HELICAL, 4-40 X 1D Strip feed</v>
          </cell>
          <cell r="C205">
            <v>34116</v>
          </cell>
          <cell r="D205">
            <v>1</v>
          </cell>
          <cell r="E205" t="str">
            <v>קשיח</v>
          </cell>
          <cell r="F205" t="str">
            <v>01.0008</v>
          </cell>
          <cell r="G205">
            <v>45081</v>
          </cell>
          <cell r="H205" t="str">
            <v>01.0008</v>
          </cell>
          <cell r="I205" t="str">
            <v>לוונשטיין טכנולוגיות בע"מ</v>
          </cell>
          <cell r="J205">
            <v>0.53</v>
          </cell>
          <cell r="K205" t="str">
            <v>₪</v>
          </cell>
          <cell r="L205">
            <v>1000</v>
          </cell>
          <cell r="M205" t="str">
            <v>יח'</v>
          </cell>
          <cell r="N205">
            <v>530</v>
          </cell>
        </row>
        <row r="206">
          <cell r="B206" t="str">
            <v>MS122076, INSERT, HELICAL, 4-40 X 1D Strip feed</v>
          </cell>
          <cell r="C206">
            <v>32825</v>
          </cell>
          <cell r="D206">
            <v>1</v>
          </cell>
          <cell r="E206" t="str">
            <v>קשיח</v>
          </cell>
          <cell r="F206" t="str">
            <v>01.0008</v>
          </cell>
          <cell r="G206">
            <v>44885</v>
          </cell>
          <cell r="H206" t="str">
            <v>01.0008</v>
          </cell>
          <cell r="I206" t="str">
            <v>דר טכנולוגיות בע"מ</v>
          </cell>
          <cell r="J206">
            <v>0.42</v>
          </cell>
          <cell r="K206" t="str">
            <v>₪</v>
          </cell>
          <cell r="L206">
            <v>1000</v>
          </cell>
          <cell r="M206" t="str">
            <v>יח'</v>
          </cell>
          <cell r="N206">
            <v>420</v>
          </cell>
        </row>
        <row r="207">
          <cell r="B207" t="str">
            <v>MS122076, INSERT, HELICAL, 4-40 X 1D Strip feed</v>
          </cell>
          <cell r="C207">
            <v>32779</v>
          </cell>
          <cell r="D207">
            <v>1</v>
          </cell>
          <cell r="E207" t="str">
            <v>קשיח</v>
          </cell>
          <cell r="F207" t="str">
            <v>01.0008</v>
          </cell>
          <cell r="G207">
            <v>44879</v>
          </cell>
          <cell r="H207" t="str">
            <v>01.0008</v>
          </cell>
          <cell r="I207" t="str">
            <v>דר טכנולוגיות בע"מ</v>
          </cell>
          <cell r="J207">
            <v>0.42</v>
          </cell>
          <cell r="K207" t="str">
            <v>₪</v>
          </cell>
          <cell r="L207">
            <v>2000</v>
          </cell>
          <cell r="M207" t="str">
            <v>יח'</v>
          </cell>
          <cell r="N207">
            <v>840</v>
          </cell>
        </row>
        <row r="208">
          <cell r="B208" t="str">
            <v>MS122076, INSERT, HELICAL, 4-40 X 1D Strip feed</v>
          </cell>
          <cell r="C208">
            <v>32555</v>
          </cell>
          <cell r="D208">
            <v>1</v>
          </cell>
          <cell r="E208" t="str">
            <v>קשיח</v>
          </cell>
          <cell r="F208" t="str">
            <v>01.0008</v>
          </cell>
          <cell r="G208">
            <v>44847</v>
          </cell>
          <cell r="H208" t="str">
            <v>01.0008</v>
          </cell>
          <cell r="I208" t="str">
            <v>דר טכנולוגיות בע"מ</v>
          </cell>
          <cell r="J208">
            <v>0.42</v>
          </cell>
          <cell r="K208" t="str">
            <v>₪</v>
          </cell>
          <cell r="L208">
            <v>2000</v>
          </cell>
          <cell r="M208" t="str">
            <v>יח'</v>
          </cell>
          <cell r="N208">
            <v>840</v>
          </cell>
        </row>
        <row r="209">
          <cell r="B209" t="str">
            <v>MS 122076</v>
          </cell>
          <cell r="C209">
            <v>31871</v>
          </cell>
          <cell r="D209">
            <v>1</v>
          </cell>
          <cell r="E209" t="str">
            <v>קשיח</v>
          </cell>
          <cell r="F209" t="str">
            <v>01.0008</v>
          </cell>
          <cell r="G209">
            <v>44746</v>
          </cell>
          <cell r="H209" t="str">
            <v>01.0008</v>
          </cell>
          <cell r="I209" t="str">
            <v>לוונשטיין טכנולוגיות בע"מ</v>
          </cell>
          <cell r="J209">
            <v>0.5</v>
          </cell>
          <cell r="K209" t="str">
            <v>₪</v>
          </cell>
          <cell r="L209">
            <v>2000</v>
          </cell>
          <cell r="M209" t="str">
            <v>יח'</v>
          </cell>
          <cell r="N209">
            <v>1000</v>
          </cell>
        </row>
        <row r="210">
          <cell r="B210" t="str">
            <v>MS122076, INSERT, HELICAL, 4-40 X 1D Strip feed</v>
          </cell>
          <cell r="C210">
            <v>31183</v>
          </cell>
          <cell r="D210">
            <v>1</v>
          </cell>
          <cell r="E210" t="str">
            <v>קשיח</v>
          </cell>
          <cell r="F210" t="str">
            <v>01.0008</v>
          </cell>
          <cell r="G210">
            <v>44647</v>
          </cell>
          <cell r="H210" t="str">
            <v>01.0008</v>
          </cell>
          <cell r="I210" t="str">
            <v>דר טכנולוגיות בע"מ</v>
          </cell>
          <cell r="J210">
            <v>0.42</v>
          </cell>
          <cell r="K210" t="str">
            <v>₪</v>
          </cell>
          <cell r="L210">
            <v>2000</v>
          </cell>
          <cell r="M210" t="str">
            <v>יח'</v>
          </cell>
          <cell r="N210">
            <v>840</v>
          </cell>
        </row>
        <row r="211">
          <cell r="B211" t="str">
            <v>MS 122076</v>
          </cell>
          <cell r="C211">
            <v>30900</v>
          </cell>
          <cell r="D211">
            <v>1</v>
          </cell>
          <cell r="E211" t="str">
            <v>קשיח</v>
          </cell>
          <cell r="F211" t="str">
            <v>01.0008</v>
          </cell>
          <cell r="G211">
            <v>44608</v>
          </cell>
          <cell r="H211" t="str">
            <v>01.0008</v>
          </cell>
          <cell r="I211" t="str">
            <v>לוונשטיין טכנולוגיות בע"מ</v>
          </cell>
          <cell r="J211">
            <v>0.5</v>
          </cell>
          <cell r="K211" t="str">
            <v>₪</v>
          </cell>
          <cell r="L211">
            <v>2000</v>
          </cell>
          <cell r="M211" t="str">
            <v>יח'</v>
          </cell>
          <cell r="N211">
            <v>1000</v>
          </cell>
        </row>
        <row r="212">
          <cell r="B212" t="str">
            <v>MS122076, INSERT, HELICAL, 4-40 X 1D Strip feed</v>
          </cell>
          <cell r="C212">
            <v>30517</v>
          </cell>
          <cell r="D212">
            <v>1</v>
          </cell>
          <cell r="E212" t="str">
            <v>קשיח</v>
          </cell>
          <cell r="F212" t="str">
            <v>01.0008</v>
          </cell>
          <cell r="G212">
            <v>44552</v>
          </cell>
          <cell r="H212" t="str">
            <v>01.0008</v>
          </cell>
          <cell r="I212" t="str">
            <v>דר טכנולוגיות בע"מ</v>
          </cell>
          <cell r="J212">
            <v>0.42020000000000002</v>
          </cell>
          <cell r="K212" t="str">
            <v>₪</v>
          </cell>
          <cell r="L212">
            <v>2000</v>
          </cell>
          <cell r="M212" t="str">
            <v>יח'</v>
          </cell>
          <cell r="N212">
            <v>840.40000000000009</v>
          </cell>
        </row>
        <row r="213">
          <cell r="B213" t="str">
            <v>MS122076, INSERT, HELICAL, 4-40 X 1D Strip feed</v>
          </cell>
          <cell r="C213">
            <v>29057</v>
          </cell>
          <cell r="D213">
            <v>1</v>
          </cell>
          <cell r="E213" t="str">
            <v>קשיח</v>
          </cell>
          <cell r="F213" t="str">
            <v>01.0008</v>
          </cell>
          <cell r="G213">
            <v>44360</v>
          </cell>
          <cell r="H213" t="str">
            <v>01.0008</v>
          </cell>
          <cell r="I213" t="str">
            <v>דר טכנולוגיות בע"מ</v>
          </cell>
          <cell r="J213">
            <v>0.42009999999999997</v>
          </cell>
          <cell r="K213" t="str">
            <v>₪</v>
          </cell>
          <cell r="L213">
            <v>2000</v>
          </cell>
          <cell r="M213" t="str">
            <v>יח'</v>
          </cell>
          <cell r="N213">
            <v>840.19999999999993</v>
          </cell>
        </row>
        <row r="214">
          <cell r="B214" t="str">
            <v>MS122076, INSERT, HELICAL, 4-40 X 1D Strip feed</v>
          </cell>
          <cell r="C214">
            <v>29007</v>
          </cell>
          <cell r="D214">
            <v>1</v>
          </cell>
          <cell r="E214" t="str">
            <v>קשיח</v>
          </cell>
          <cell r="F214" t="str">
            <v>01.0008</v>
          </cell>
          <cell r="G214">
            <v>44353</v>
          </cell>
          <cell r="H214" t="str">
            <v>01.0008</v>
          </cell>
          <cell r="I214" t="str">
            <v>דר טכנולוגיות בע"מ</v>
          </cell>
          <cell r="J214">
            <v>0.42009999999999997</v>
          </cell>
          <cell r="K214" t="str">
            <v>₪</v>
          </cell>
          <cell r="L214">
            <v>1000</v>
          </cell>
          <cell r="M214" t="str">
            <v>יח'</v>
          </cell>
          <cell r="N214">
            <v>420.09999999999997</v>
          </cell>
        </row>
        <row r="215">
          <cell r="B215" t="str">
            <v>MS122076, INSERT, HELICAL, 4-40 X 1D Strip feed</v>
          </cell>
          <cell r="C215">
            <v>28529</v>
          </cell>
          <cell r="D215">
            <v>1</v>
          </cell>
          <cell r="E215" t="str">
            <v>קשיח</v>
          </cell>
          <cell r="F215" t="str">
            <v>01.0008</v>
          </cell>
          <cell r="G215">
            <v>44291</v>
          </cell>
          <cell r="H215" t="str">
            <v>01.0008</v>
          </cell>
          <cell r="I215" t="str">
            <v>דר טכנולוגיות בע"מ</v>
          </cell>
          <cell r="J215">
            <v>0.42</v>
          </cell>
          <cell r="K215" t="str">
            <v>₪</v>
          </cell>
          <cell r="L215">
            <v>2000</v>
          </cell>
          <cell r="M215" t="str">
            <v>יח'</v>
          </cell>
          <cell r="N215">
            <v>840</v>
          </cell>
        </row>
        <row r="216">
          <cell r="B216" t="str">
            <v>MS122076, INSERT, HELICAL, 4-40 X 1D Strip feed</v>
          </cell>
          <cell r="C216">
            <v>28494</v>
          </cell>
          <cell r="D216">
            <v>1</v>
          </cell>
          <cell r="E216" t="str">
            <v>קשיח</v>
          </cell>
          <cell r="F216" t="str">
            <v>01.0008</v>
          </cell>
          <cell r="G216">
            <v>44285</v>
          </cell>
          <cell r="H216" t="str">
            <v>01.0008</v>
          </cell>
          <cell r="I216" t="str">
            <v>דר טכנולוגיות בע"מ</v>
          </cell>
          <cell r="J216">
            <v>0.4199</v>
          </cell>
          <cell r="K216" t="str">
            <v>₪</v>
          </cell>
          <cell r="L216">
            <v>1000</v>
          </cell>
          <cell r="M216" t="str">
            <v>יח'</v>
          </cell>
          <cell r="N216">
            <v>419.9</v>
          </cell>
        </row>
        <row r="217">
          <cell r="B217" t="str">
            <v>MS122076, INSERT, HELICAL, 4-40 X 1D Strip feed</v>
          </cell>
          <cell r="C217">
            <v>28051</v>
          </cell>
          <cell r="D217">
            <v>1</v>
          </cell>
          <cell r="E217" t="str">
            <v>קשיח</v>
          </cell>
          <cell r="F217" t="str">
            <v>01.0008</v>
          </cell>
          <cell r="G217">
            <v>44224</v>
          </cell>
          <cell r="H217" t="str">
            <v>01.0008</v>
          </cell>
          <cell r="I217" t="str">
            <v>דר טכנולוגיות בע"מ</v>
          </cell>
          <cell r="J217">
            <v>0.4199</v>
          </cell>
          <cell r="K217" t="str">
            <v>₪</v>
          </cell>
          <cell r="L217">
            <v>1000</v>
          </cell>
          <cell r="M217" t="str">
            <v>יח'</v>
          </cell>
          <cell r="N217">
            <v>419.9</v>
          </cell>
        </row>
        <row r="218">
          <cell r="B218" t="str">
            <v>MS122076, INSERT, HELICAL, 4-40 X 1D Strip feed</v>
          </cell>
          <cell r="C218">
            <v>26449</v>
          </cell>
          <cell r="D218">
            <v>1</v>
          </cell>
          <cell r="E218" t="str">
            <v>קשיח</v>
          </cell>
          <cell r="F218" t="str">
            <v>01.0008</v>
          </cell>
          <cell r="G218">
            <v>44005</v>
          </cell>
          <cell r="H218" t="str">
            <v>01.0008</v>
          </cell>
          <cell r="I218" t="str">
            <v>דר טכנולוגיות בע"מ</v>
          </cell>
          <cell r="J218">
            <v>0.41980000000000001</v>
          </cell>
          <cell r="K218" t="str">
            <v>₪</v>
          </cell>
          <cell r="L218">
            <v>2000</v>
          </cell>
          <cell r="M218" t="str">
            <v>יח'</v>
          </cell>
          <cell r="N218">
            <v>839.6</v>
          </cell>
        </row>
        <row r="219">
          <cell r="B219" t="str">
            <v>MS122076, INSERT, HELICAL, 4-40 X 1D Strip feed</v>
          </cell>
          <cell r="C219">
            <v>25907</v>
          </cell>
          <cell r="D219">
            <v>2</v>
          </cell>
          <cell r="E219" t="str">
            <v>קשיח</v>
          </cell>
          <cell r="F219" t="str">
            <v>01.0008</v>
          </cell>
          <cell r="G219">
            <v>43915</v>
          </cell>
          <cell r="H219" t="str">
            <v>01.0008</v>
          </cell>
          <cell r="I219" t="str">
            <v>דר טכנולוגיות בע"מ</v>
          </cell>
          <cell r="J219">
            <v>0.42</v>
          </cell>
          <cell r="K219" t="str">
            <v>₪</v>
          </cell>
          <cell r="L219">
            <v>1000</v>
          </cell>
          <cell r="M219" t="str">
            <v>יח'</v>
          </cell>
          <cell r="N219">
            <v>420</v>
          </cell>
        </row>
        <row r="220">
          <cell r="B220" t="str">
            <v>MS122076, INSERT, HELICAL, 4-40 X 1D Strip feed</v>
          </cell>
          <cell r="C220">
            <v>22893</v>
          </cell>
          <cell r="D220">
            <v>1</v>
          </cell>
          <cell r="E220" t="str">
            <v>קשיח</v>
          </cell>
          <cell r="F220" t="str">
            <v>01.0008</v>
          </cell>
          <cell r="G220">
            <v>43503</v>
          </cell>
          <cell r="H220" t="str">
            <v>01.0008</v>
          </cell>
          <cell r="I220" t="str">
            <v>דר טכנולוגיות בע"מ</v>
          </cell>
          <cell r="J220">
            <v>0.4</v>
          </cell>
          <cell r="K220" t="str">
            <v>₪</v>
          </cell>
          <cell r="L220">
            <v>2000</v>
          </cell>
          <cell r="M220" t="str">
            <v>יח'</v>
          </cell>
          <cell r="N220">
            <v>800</v>
          </cell>
        </row>
        <row r="221">
          <cell r="B221" t="str">
            <v>MS 122076</v>
          </cell>
          <cell r="C221">
            <v>1925</v>
          </cell>
          <cell r="D221">
            <v>2</v>
          </cell>
          <cell r="E221" t="str">
            <v>קשיח</v>
          </cell>
          <cell r="F221" t="str">
            <v>01.0008</v>
          </cell>
          <cell r="G221">
            <v>41312</v>
          </cell>
          <cell r="H221" t="str">
            <v>01.0008</v>
          </cell>
          <cell r="I221" t="str">
            <v>לוונשטיין טכנולוגיות</v>
          </cell>
          <cell r="J221">
            <v>0.53</v>
          </cell>
          <cell r="K221" t="str">
            <v>₪</v>
          </cell>
          <cell r="L221">
            <v>1000</v>
          </cell>
          <cell r="M221" t="str">
            <v>יח'</v>
          </cell>
          <cell r="N221">
            <v>530</v>
          </cell>
        </row>
        <row r="222">
          <cell r="B222" t="str">
            <v>MS122076 – INSERT, HELICAL, 4-40 X 1D</v>
          </cell>
          <cell r="C222">
            <v>1847</v>
          </cell>
          <cell r="D222">
            <v>6</v>
          </cell>
          <cell r="E222" t="str">
            <v>קשיח</v>
          </cell>
          <cell r="F222" t="str">
            <v>01.0008</v>
          </cell>
          <cell r="G222">
            <v>41305</v>
          </cell>
          <cell r="H222" t="str">
            <v>01.0008</v>
          </cell>
          <cell r="I222" t="str">
            <v>טמבור הפצות בע"מ</v>
          </cell>
          <cell r="J222">
            <v>0.14230000000000001</v>
          </cell>
          <cell r="K222" t="str">
            <v>$</v>
          </cell>
          <cell r="M222" t="str">
            <v>יח'</v>
          </cell>
        </row>
        <row r="223">
          <cell r="B223" t="str">
            <v>MS 122076</v>
          </cell>
          <cell r="C223">
            <v>1342</v>
          </cell>
          <cell r="D223">
            <v>1</v>
          </cell>
          <cell r="E223" t="str">
            <v>קשיח</v>
          </cell>
          <cell r="F223" t="str">
            <v>01.0008</v>
          </cell>
          <cell r="G223">
            <v>41242</v>
          </cell>
          <cell r="H223" t="str">
            <v>01.0008</v>
          </cell>
          <cell r="I223" t="str">
            <v>לוונשטיין טכנולוגיות</v>
          </cell>
          <cell r="J223">
            <v>0.53</v>
          </cell>
          <cell r="K223" t="str">
            <v>₪</v>
          </cell>
          <cell r="L223">
            <v>1000</v>
          </cell>
          <cell r="M223" t="str">
            <v>יח'</v>
          </cell>
          <cell r="N223">
            <v>530</v>
          </cell>
        </row>
        <row r="224">
          <cell r="B224" t="str">
            <v>MS 122076</v>
          </cell>
          <cell r="C224">
            <v>983</v>
          </cell>
          <cell r="D224">
            <v>3</v>
          </cell>
          <cell r="E224" t="str">
            <v>קשיח</v>
          </cell>
          <cell r="F224" t="str">
            <v>01.0008</v>
          </cell>
          <cell r="G224">
            <v>41200</v>
          </cell>
          <cell r="H224" t="str">
            <v>01.0008</v>
          </cell>
          <cell r="I224" t="str">
            <v>לוונשטיין טכנולוגיות</v>
          </cell>
          <cell r="J224">
            <v>0.53</v>
          </cell>
          <cell r="K224" t="str">
            <v>₪</v>
          </cell>
          <cell r="L224">
            <v>1000</v>
          </cell>
          <cell r="M224" t="str">
            <v>יח'</v>
          </cell>
          <cell r="N224">
            <v>530</v>
          </cell>
        </row>
        <row r="225">
          <cell r="B225" t="str">
            <v>MS 122076</v>
          </cell>
          <cell r="C225">
            <v>454</v>
          </cell>
          <cell r="D225">
            <v>3</v>
          </cell>
          <cell r="E225" t="str">
            <v>קשיח</v>
          </cell>
          <cell r="F225" t="str">
            <v>01.0008</v>
          </cell>
          <cell r="G225">
            <v>41128</v>
          </cell>
          <cell r="H225" t="str">
            <v>01.0008</v>
          </cell>
          <cell r="I225" t="str">
            <v>לוונשטיין טכנולוגיות</v>
          </cell>
          <cell r="J225">
            <v>0.48499999999999999</v>
          </cell>
          <cell r="K225" t="str">
            <v>₪</v>
          </cell>
          <cell r="L225">
            <v>2000</v>
          </cell>
          <cell r="M225" t="str">
            <v>יח'</v>
          </cell>
          <cell r="N225">
            <v>970</v>
          </cell>
        </row>
        <row r="226">
          <cell r="B226" t="str">
            <v>MS122135, INSERT, HELICAL, 2-56 בגליל</v>
          </cell>
          <cell r="C226">
            <v>44814</v>
          </cell>
          <cell r="D226">
            <v>1</v>
          </cell>
          <cell r="E226" t="str">
            <v>קשיח</v>
          </cell>
          <cell r="F226" t="str">
            <v>01.0009</v>
          </cell>
          <cell r="G226">
            <v>46064</v>
          </cell>
          <cell r="H226" t="str">
            <v>01.0009</v>
          </cell>
          <cell r="I226" t="str">
            <v>לוונשטיין טכנולוגיות בע"מ</v>
          </cell>
          <cell r="J226">
            <v>0.75</v>
          </cell>
          <cell r="K226" t="str">
            <v>₪</v>
          </cell>
          <cell r="L226">
            <v>1000</v>
          </cell>
          <cell r="M226" t="str">
            <v>יח'</v>
          </cell>
          <cell r="N226">
            <v>750</v>
          </cell>
        </row>
        <row r="227">
          <cell r="B227" t="str">
            <v>הליקיול MS122135</v>
          </cell>
          <cell r="C227">
            <v>41920</v>
          </cell>
          <cell r="D227">
            <v>2</v>
          </cell>
          <cell r="E227" t="str">
            <v>קשיח</v>
          </cell>
          <cell r="F227" t="str">
            <v>01.0009</v>
          </cell>
          <cell r="G227">
            <v>45894</v>
          </cell>
          <cell r="H227" t="str">
            <v>01.0009</v>
          </cell>
          <cell r="I227" t="str">
            <v>לוונשטיין טכנולוגיות בע"מ</v>
          </cell>
          <cell r="J227">
            <v>0.75</v>
          </cell>
          <cell r="K227" t="str">
            <v>₪</v>
          </cell>
          <cell r="L227">
            <v>1000</v>
          </cell>
          <cell r="M227" t="str">
            <v>יח'</v>
          </cell>
          <cell r="N227">
            <v>750</v>
          </cell>
        </row>
        <row r="228">
          <cell r="B228" t="str">
            <v>הליקיול MS122135</v>
          </cell>
          <cell r="C228">
            <v>41822</v>
          </cell>
          <cell r="D228">
            <v>2</v>
          </cell>
          <cell r="E228" t="str">
            <v>קשיח</v>
          </cell>
          <cell r="F228" t="str">
            <v>01.0009</v>
          </cell>
          <cell r="G228">
            <v>45886</v>
          </cell>
          <cell r="H228" t="str">
            <v>01.0009</v>
          </cell>
          <cell r="I228" t="str">
            <v>לוונשטיין טכנולוגיות בע"מ</v>
          </cell>
          <cell r="J228">
            <v>0.75</v>
          </cell>
          <cell r="K228" t="str">
            <v>₪</v>
          </cell>
          <cell r="L228">
            <v>1000</v>
          </cell>
          <cell r="M228" t="str">
            <v>יח'</v>
          </cell>
          <cell r="N228">
            <v>750</v>
          </cell>
        </row>
        <row r="229">
          <cell r="B229" t="str">
            <v>MS122135, INSERT, HELICAL, 2-56 בגליל</v>
          </cell>
          <cell r="C229">
            <v>40924</v>
          </cell>
          <cell r="D229">
            <v>1</v>
          </cell>
          <cell r="E229" t="str">
            <v>קשיח</v>
          </cell>
          <cell r="F229" t="str">
            <v>01.0009</v>
          </cell>
          <cell r="G229">
            <v>45798</v>
          </cell>
          <cell r="H229" t="str">
            <v>01.0009</v>
          </cell>
          <cell r="I229" t="str">
            <v>דר טכנולוגיות בע"מ</v>
          </cell>
          <cell r="J229">
            <v>0.4</v>
          </cell>
          <cell r="K229" t="str">
            <v>₪</v>
          </cell>
          <cell r="L229">
            <v>2000</v>
          </cell>
          <cell r="M229" t="str">
            <v>יח'</v>
          </cell>
          <cell r="N229">
            <v>800</v>
          </cell>
        </row>
        <row r="230">
          <cell r="B230" t="str">
            <v>MS122135, INSERT, HELICAL, 2-56 בגליל</v>
          </cell>
          <cell r="C230">
            <v>40249</v>
          </cell>
          <cell r="D230">
            <v>1</v>
          </cell>
          <cell r="E230" t="str">
            <v>קשיח</v>
          </cell>
          <cell r="F230" t="str">
            <v>01.0009</v>
          </cell>
          <cell r="G230">
            <v>45739</v>
          </cell>
          <cell r="H230" t="str">
            <v>01.0009</v>
          </cell>
          <cell r="I230" t="str">
            <v>לוונשטיין טכנולוגיות בע"מ</v>
          </cell>
          <cell r="J230">
            <v>0.75</v>
          </cell>
          <cell r="K230" t="str">
            <v>₪</v>
          </cell>
          <cell r="L230">
            <v>5000</v>
          </cell>
          <cell r="M230" t="str">
            <v>יח'</v>
          </cell>
          <cell r="N230">
            <v>3750</v>
          </cell>
        </row>
        <row r="231">
          <cell r="B231" t="str">
            <v>MS122135, INSERT, HELICAL, 2-56 בגליל</v>
          </cell>
          <cell r="C231">
            <v>39292</v>
          </cell>
          <cell r="D231">
            <v>1</v>
          </cell>
          <cell r="E231" t="str">
            <v>קשיח</v>
          </cell>
          <cell r="F231" t="str">
            <v>01.0009</v>
          </cell>
          <cell r="G231">
            <v>45652</v>
          </cell>
          <cell r="H231" t="str">
            <v>01.0009</v>
          </cell>
          <cell r="I231" t="str">
            <v>דר טכנולוגיות בע"מ</v>
          </cell>
          <cell r="J231">
            <v>0.4</v>
          </cell>
          <cell r="K231" t="str">
            <v>₪</v>
          </cell>
          <cell r="L231">
            <v>4000</v>
          </cell>
          <cell r="M231" t="str">
            <v>יח'</v>
          </cell>
          <cell r="N231">
            <v>1600</v>
          </cell>
        </row>
        <row r="232">
          <cell r="B232" t="str">
            <v>MS122135, INSERT, HELICAL, 2-56 בגליל</v>
          </cell>
          <cell r="C232">
            <v>39221</v>
          </cell>
          <cell r="D232">
            <v>1</v>
          </cell>
          <cell r="E232" t="str">
            <v>קשיח</v>
          </cell>
          <cell r="F232" t="str">
            <v>01.0009</v>
          </cell>
          <cell r="G232">
            <v>45648</v>
          </cell>
          <cell r="H232" t="str">
            <v>01.0009</v>
          </cell>
          <cell r="I232" t="str">
            <v>לוונשטיין טכנולוגיות בע"מ</v>
          </cell>
          <cell r="J232">
            <v>0.75</v>
          </cell>
          <cell r="K232" t="str">
            <v>₪</v>
          </cell>
          <cell r="L232">
            <v>2000</v>
          </cell>
          <cell r="M232" t="str">
            <v>יח'</v>
          </cell>
          <cell r="N232">
            <v>1500</v>
          </cell>
        </row>
        <row r="233">
          <cell r="B233" t="str">
            <v>MS122135, INSERT, HELICAL, 2-56 בגליל</v>
          </cell>
          <cell r="C233">
            <v>39091</v>
          </cell>
          <cell r="D233">
            <v>1</v>
          </cell>
          <cell r="E233" t="str">
            <v>קשיח</v>
          </cell>
          <cell r="F233" t="str">
            <v>01.0009</v>
          </cell>
          <cell r="G233">
            <v>45636</v>
          </cell>
          <cell r="H233" t="str">
            <v>01.0009</v>
          </cell>
          <cell r="I233" t="str">
            <v>לוונשטיין טכנולוגיות בע"מ</v>
          </cell>
          <cell r="J233">
            <v>0.75</v>
          </cell>
          <cell r="K233" t="str">
            <v>₪</v>
          </cell>
          <cell r="L233">
            <v>4000</v>
          </cell>
          <cell r="M233" t="str">
            <v>יח'</v>
          </cell>
          <cell r="N233">
            <v>3000</v>
          </cell>
        </row>
        <row r="234">
          <cell r="B234" t="str">
            <v>הליקיול MS122135</v>
          </cell>
          <cell r="C234">
            <v>38055</v>
          </cell>
          <cell r="D234">
            <v>1</v>
          </cell>
          <cell r="E234" t="str">
            <v>קשיח</v>
          </cell>
          <cell r="F234" t="str">
            <v>01.0009</v>
          </cell>
          <cell r="G234">
            <v>45518</v>
          </cell>
          <cell r="H234" t="str">
            <v>01.0009</v>
          </cell>
          <cell r="I234" t="str">
            <v>לוונשטיין טכנולוגיות בע"מ</v>
          </cell>
          <cell r="J234">
            <v>0.75</v>
          </cell>
          <cell r="K234" t="str">
            <v>₪</v>
          </cell>
          <cell r="L234">
            <v>1000</v>
          </cell>
          <cell r="M234" t="str">
            <v>יח'</v>
          </cell>
          <cell r="N234">
            <v>750</v>
          </cell>
        </row>
        <row r="235">
          <cell r="B235" t="str">
            <v>MS122135, INSERT, HELICAL, 2-56 בגליל</v>
          </cell>
          <cell r="C235">
            <v>37749</v>
          </cell>
          <cell r="D235">
            <v>1</v>
          </cell>
          <cell r="E235" t="str">
            <v>קשיח</v>
          </cell>
          <cell r="F235" t="str">
            <v>01.0009</v>
          </cell>
          <cell r="G235">
            <v>45488</v>
          </cell>
          <cell r="H235" t="str">
            <v>01.0009</v>
          </cell>
          <cell r="I235" t="str">
            <v>לוונשטיין טכנולוגיות בע"מ</v>
          </cell>
          <cell r="J235">
            <v>0.75</v>
          </cell>
          <cell r="K235" t="str">
            <v>₪</v>
          </cell>
          <cell r="L235">
            <v>1000</v>
          </cell>
          <cell r="M235" t="str">
            <v>יח'</v>
          </cell>
          <cell r="N235">
            <v>750</v>
          </cell>
        </row>
        <row r="236">
          <cell r="B236" t="str">
            <v>MS122135, INSERT, HELICAL, 2-56 בגליל</v>
          </cell>
          <cell r="C236">
            <v>36338</v>
          </cell>
          <cell r="D236">
            <v>1</v>
          </cell>
          <cell r="E236" t="str">
            <v>קשיח</v>
          </cell>
          <cell r="F236" t="str">
            <v>01.0009</v>
          </cell>
          <cell r="G236">
            <v>45327</v>
          </cell>
          <cell r="H236" t="str">
            <v>01.0009</v>
          </cell>
          <cell r="I236" t="str">
            <v>לוונשטיין טכנולוגיות בע"מ</v>
          </cell>
          <cell r="J236">
            <v>0.75</v>
          </cell>
          <cell r="K236" t="str">
            <v>₪</v>
          </cell>
          <cell r="L236">
            <v>2000</v>
          </cell>
          <cell r="M236" t="str">
            <v>יח'</v>
          </cell>
          <cell r="N236">
            <v>1500</v>
          </cell>
        </row>
        <row r="237">
          <cell r="B237" t="str">
            <v>הליקיול MS122135</v>
          </cell>
          <cell r="C237">
            <v>36017</v>
          </cell>
          <cell r="D237">
            <v>1</v>
          </cell>
          <cell r="E237" t="str">
            <v>קשיח</v>
          </cell>
          <cell r="F237" t="str">
            <v>01.0009</v>
          </cell>
          <cell r="G237">
            <v>45294</v>
          </cell>
          <cell r="H237" t="str">
            <v>01.0009</v>
          </cell>
          <cell r="I237" t="str">
            <v>לוונשטיין טכנולוגיות בע"מ</v>
          </cell>
          <cell r="J237">
            <v>0.75</v>
          </cell>
          <cell r="K237" t="str">
            <v>₪</v>
          </cell>
          <cell r="L237">
            <v>2000</v>
          </cell>
          <cell r="M237" t="str">
            <v>יח'</v>
          </cell>
          <cell r="N237">
            <v>1500</v>
          </cell>
        </row>
        <row r="238">
          <cell r="B238" t="str">
            <v>הליקיול MS122135</v>
          </cell>
          <cell r="C238">
            <v>35081</v>
          </cell>
          <cell r="D238">
            <v>1</v>
          </cell>
          <cell r="E238" t="str">
            <v>קשיח</v>
          </cell>
          <cell r="F238" t="str">
            <v>01.0009</v>
          </cell>
          <cell r="G238">
            <v>45180</v>
          </cell>
          <cell r="H238" t="str">
            <v>01.0009</v>
          </cell>
          <cell r="I238" t="str">
            <v>לוונשטיין טכנולוגיות בע"מ</v>
          </cell>
          <cell r="J238">
            <v>0.75</v>
          </cell>
          <cell r="K238" t="str">
            <v>₪</v>
          </cell>
          <cell r="L238">
            <v>1000</v>
          </cell>
          <cell r="M238" t="str">
            <v>יח'</v>
          </cell>
          <cell r="N238">
            <v>750</v>
          </cell>
        </row>
        <row r="239">
          <cell r="B239" t="str">
            <v>הליקיול MS122135</v>
          </cell>
          <cell r="C239">
            <v>34198</v>
          </cell>
          <cell r="D239">
            <v>1</v>
          </cell>
          <cell r="E239" t="str">
            <v>קשיח</v>
          </cell>
          <cell r="F239" t="str">
            <v>01.0009</v>
          </cell>
          <cell r="G239">
            <v>45090</v>
          </cell>
          <cell r="H239" t="str">
            <v>01.0009</v>
          </cell>
          <cell r="I239" t="str">
            <v>לוונשטיין טכנולוגיות בע"מ</v>
          </cell>
          <cell r="J239">
            <v>0.75</v>
          </cell>
          <cell r="K239" t="str">
            <v>₪</v>
          </cell>
          <cell r="L239">
            <v>1000</v>
          </cell>
          <cell r="M239" t="str">
            <v>יח'</v>
          </cell>
          <cell r="N239">
            <v>750</v>
          </cell>
        </row>
        <row r="240">
          <cell r="B240" t="str">
            <v>MS122135, INSERT, HELICAL, 2-56 בגליל</v>
          </cell>
          <cell r="C240">
            <v>34116</v>
          </cell>
          <cell r="D240">
            <v>2</v>
          </cell>
          <cell r="E240" t="str">
            <v>קשיח</v>
          </cell>
          <cell r="F240" t="str">
            <v>01.0009</v>
          </cell>
          <cell r="G240">
            <v>45081</v>
          </cell>
          <cell r="H240" t="str">
            <v>01.0009</v>
          </cell>
          <cell r="I240" t="str">
            <v>לוונשטיין טכנולוגיות בע"מ</v>
          </cell>
          <cell r="J240">
            <v>0.75</v>
          </cell>
          <cell r="K240" t="str">
            <v>₪</v>
          </cell>
          <cell r="L240">
            <v>1000</v>
          </cell>
          <cell r="M240" t="str">
            <v>יח'</v>
          </cell>
          <cell r="N240">
            <v>750</v>
          </cell>
        </row>
        <row r="241">
          <cell r="B241" t="str">
            <v>MS122135, INSERT, HELICAL, 2-56 בגליל</v>
          </cell>
          <cell r="C241">
            <v>31492</v>
          </cell>
          <cell r="D241">
            <v>1</v>
          </cell>
          <cell r="E241" t="str">
            <v>קשיח</v>
          </cell>
          <cell r="F241" t="str">
            <v>01.0009</v>
          </cell>
          <cell r="G241">
            <v>44692</v>
          </cell>
          <cell r="H241" t="str">
            <v>01.0009</v>
          </cell>
          <cell r="I241" t="str">
            <v>דר טכנולוגיות בע"מ</v>
          </cell>
          <cell r="J241">
            <v>0.44990000000000002</v>
          </cell>
          <cell r="K241" t="str">
            <v>₪</v>
          </cell>
          <cell r="L241">
            <v>2000</v>
          </cell>
          <cell r="M241" t="str">
            <v>יח'</v>
          </cell>
          <cell r="N241">
            <v>899.80000000000007</v>
          </cell>
        </row>
        <row r="242">
          <cell r="B242" t="str">
            <v>MS122135, INSERT, HELICAL, 2-56 בגליל</v>
          </cell>
          <cell r="C242">
            <v>31477</v>
          </cell>
          <cell r="D242">
            <v>1</v>
          </cell>
          <cell r="E242" t="str">
            <v>קשיח</v>
          </cell>
          <cell r="F242" t="str">
            <v>01.0009</v>
          </cell>
          <cell r="G242">
            <v>44690</v>
          </cell>
          <cell r="H242" t="str">
            <v>01.0009</v>
          </cell>
          <cell r="I242" t="str">
            <v>דר טכנולוגיות בע"מ</v>
          </cell>
          <cell r="J242">
            <v>0.44990000000000002</v>
          </cell>
          <cell r="K242" t="str">
            <v>₪</v>
          </cell>
          <cell r="L242">
            <v>2000</v>
          </cell>
          <cell r="M242" t="str">
            <v>יח'</v>
          </cell>
          <cell r="N242">
            <v>899.80000000000007</v>
          </cell>
        </row>
        <row r="243">
          <cell r="B243" t="str">
            <v>הליקיול MS122135</v>
          </cell>
          <cell r="C243">
            <v>31411</v>
          </cell>
          <cell r="D243">
            <v>1</v>
          </cell>
          <cell r="E243" t="str">
            <v>קשיח</v>
          </cell>
          <cell r="F243" t="str">
            <v>01.0009</v>
          </cell>
          <cell r="G243">
            <v>44679</v>
          </cell>
          <cell r="H243" t="str">
            <v>01.0009</v>
          </cell>
          <cell r="I243" t="str">
            <v>דר טכנולוגיות בע"מ</v>
          </cell>
          <cell r="J243">
            <v>0.45</v>
          </cell>
          <cell r="K243" t="str">
            <v>₪</v>
          </cell>
          <cell r="L243">
            <v>2000</v>
          </cell>
          <cell r="M243" t="str">
            <v>יח'</v>
          </cell>
          <cell r="N243">
            <v>900</v>
          </cell>
        </row>
        <row r="244">
          <cell r="B244" t="str">
            <v>MS122135, INSERT, HELICAL, 2-56 בגליל</v>
          </cell>
          <cell r="C244">
            <v>27137</v>
          </cell>
          <cell r="D244">
            <v>1</v>
          </cell>
          <cell r="E244" t="str">
            <v>קשיח</v>
          </cell>
          <cell r="F244" t="str">
            <v>01.0009</v>
          </cell>
          <cell r="G244">
            <v>44096</v>
          </cell>
          <cell r="H244" t="str">
            <v>01.0009</v>
          </cell>
          <cell r="I244" t="str">
            <v>דר טכנולוגיות בע"מ</v>
          </cell>
          <cell r="J244">
            <v>0.45</v>
          </cell>
          <cell r="K244" t="str">
            <v>₪</v>
          </cell>
          <cell r="L244">
            <v>1000</v>
          </cell>
          <cell r="M244" t="str">
            <v>יח'</v>
          </cell>
          <cell r="N244">
            <v>450</v>
          </cell>
        </row>
        <row r="245">
          <cell r="B245" t="str">
            <v>MS122135, INSERT, HELICAL, 2-56 בגליל</v>
          </cell>
          <cell r="C245">
            <v>27045</v>
          </cell>
          <cell r="D245">
            <v>2</v>
          </cell>
          <cell r="E245" t="str">
            <v>קשיח</v>
          </cell>
          <cell r="F245" t="str">
            <v>01.0009</v>
          </cell>
          <cell r="G245">
            <v>44081</v>
          </cell>
          <cell r="H245" t="str">
            <v>01.0009</v>
          </cell>
          <cell r="I245" t="str">
            <v>דר טכנולוגיות בע"מ</v>
          </cell>
          <cell r="J245">
            <v>0.45</v>
          </cell>
          <cell r="K245" t="str">
            <v>₪</v>
          </cell>
          <cell r="L245">
            <v>1000</v>
          </cell>
          <cell r="M245" t="str">
            <v>יח'</v>
          </cell>
          <cell r="N245">
            <v>450</v>
          </cell>
        </row>
        <row r="246">
          <cell r="B246" t="str">
            <v>MS122135, INSERT, HELICAL, 2-56</v>
          </cell>
          <cell r="C246">
            <v>26982</v>
          </cell>
          <cell r="D246">
            <v>1</v>
          </cell>
          <cell r="E246" t="str">
            <v>קשיח</v>
          </cell>
          <cell r="F246" t="str">
            <v>01.0009</v>
          </cell>
          <cell r="G246">
            <v>44069</v>
          </cell>
          <cell r="H246" t="str">
            <v>01.0009</v>
          </cell>
          <cell r="I246" t="str">
            <v>דר טכנולוגיות בע"מ</v>
          </cell>
          <cell r="J246">
            <v>0.45</v>
          </cell>
          <cell r="K246" t="str">
            <v>₪</v>
          </cell>
          <cell r="L246">
            <v>1000</v>
          </cell>
          <cell r="M246" t="str">
            <v>יח'</v>
          </cell>
          <cell r="N246">
            <v>450</v>
          </cell>
        </row>
        <row r="247">
          <cell r="B247" t="str">
            <v>MS122135, INSERT, HELICAL, 2-56</v>
          </cell>
          <cell r="C247">
            <v>24391</v>
          </cell>
          <cell r="D247">
            <v>1</v>
          </cell>
          <cell r="E247" t="str">
            <v>קשיח</v>
          </cell>
          <cell r="F247" t="str">
            <v>01.0009</v>
          </cell>
          <cell r="G247">
            <v>43678</v>
          </cell>
          <cell r="H247" t="str">
            <v>01.0009</v>
          </cell>
          <cell r="I247" t="str">
            <v>דר טכנולוגיות בע"מ</v>
          </cell>
          <cell r="J247">
            <v>0.45</v>
          </cell>
          <cell r="K247" t="str">
            <v>₪</v>
          </cell>
          <cell r="L247">
            <v>1000</v>
          </cell>
          <cell r="M247" t="str">
            <v>יח'</v>
          </cell>
          <cell r="N247">
            <v>450</v>
          </cell>
        </row>
        <row r="248">
          <cell r="B248" t="str">
            <v>MS122135, INSERT, HELICAL, 2-56</v>
          </cell>
          <cell r="C248">
            <v>21359</v>
          </cell>
          <cell r="D248">
            <v>1</v>
          </cell>
          <cell r="E248" t="str">
            <v>קשיח</v>
          </cell>
          <cell r="F248" t="str">
            <v>01.0009</v>
          </cell>
          <cell r="G248">
            <v>43298</v>
          </cell>
          <cell r="H248" t="str">
            <v>01.0009</v>
          </cell>
          <cell r="I248" t="str">
            <v>גין מהנדסים בע"מ</v>
          </cell>
          <cell r="J248">
            <v>0.55989999999999995</v>
          </cell>
          <cell r="K248" t="str">
            <v>₪</v>
          </cell>
          <cell r="M248" t="str">
            <v>יח'</v>
          </cell>
        </row>
        <row r="249">
          <cell r="B249" t="str">
            <v>הליקיול MS122135</v>
          </cell>
          <cell r="C249">
            <v>927</v>
          </cell>
          <cell r="D249">
            <v>2</v>
          </cell>
          <cell r="E249" t="str">
            <v>קשיח</v>
          </cell>
          <cell r="F249" t="str">
            <v>01.0009</v>
          </cell>
          <cell r="G249">
            <v>41196</v>
          </cell>
          <cell r="H249" t="str">
            <v>01.0009</v>
          </cell>
          <cell r="I249" t="str">
            <v>לוונשטיין טכנולוגיות</v>
          </cell>
          <cell r="J249">
            <v>0.56000000000000005</v>
          </cell>
          <cell r="K249" t="str">
            <v>₪</v>
          </cell>
          <cell r="L249">
            <v>2000</v>
          </cell>
          <cell r="M249" t="str">
            <v>יח'</v>
          </cell>
          <cell r="N249">
            <v>1120</v>
          </cell>
        </row>
        <row r="250">
          <cell r="B250" t="str">
            <v>הליקיול MS122135</v>
          </cell>
          <cell r="C250">
            <v>731</v>
          </cell>
          <cell r="D250">
            <v>1</v>
          </cell>
          <cell r="E250" t="str">
            <v>קשיח</v>
          </cell>
          <cell r="F250" t="str">
            <v>01.0009</v>
          </cell>
          <cell r="G250">
            <v>41156</v>
          </cell>
          <cell r="H250" t="str">
            <v>01.0009</v>
          </cell>
          <cell r="I250" t="str">
            <v>לוונשטיין טכנולוגיות</v>
          </cell>
          <cell r="J250">
            <v>0.56000000000000005</v>
          </cell>
          <cell r="K250" t="str">
            <v>₪</v>
          </cell>
          <cell r="L250">
            <v>3000</v>
          </cell>
          <cell r="M250" t="str">
            <v>יח'</v>
          </cell>
          <cell r="N250">
            <v>1680.0000000000002</v>
          </cell>
        </row>
        <row r="251">
          <cell r="B251" t="str">
            <v>הליקיול MS122135</v>
          </cell>
          <cell r="C251">
            <v>716</v>
          </cell>
          <cell r="D251">
            <v>1</v>
          </cell>
          <cell r="E251" t="str">
            <v>קשיח</v>
          </cell>
          <cell r="F251" t="str">
            <v>01.0009</v>
          </cell>
          <cell r="G251">
            <v>41155</v>
          </cell>
          <cell r="H251" t="str">
            <v>01.0009</v>
          </cell>
          <cell r="I251" t="str">
            <v>לוונשטיין טכנולוגיות</v>
          </cell>
          <cell r="J251">
            <v>0.56000000000000005</v>
          </cell>
          <cell r="K251" t="str">
            <v>₪</v>
          </cell>
          <cell r="L251">
            <v>1000</v>
          </cell>
          <cell r="M251" t="str">
            <v>יח'</v>
          </cell>
          <cell r="N251">
            <v>560</v>
          </cell>
        </row>
        <row r="252">
          <cell r="B252" t="str">
            <v>MS51830-103, INSERT, KEY-LOCKED, 6-32 N/L</v>
          </cell>
          <cell r="C252">
            <v>44811</v>
          </cell>
          <cell r="D252">
            <v>1</v>
          </cell>
          <cell r="E252" t="str">
            <v>קשיח</v>
          </cell>
          <cell r="F252" t="str">
            <v>01.0010</v>
          </cell>
          <cell r="G252">
            <v>46064</v>
          </cell>
          <cell r="H252" t="str">
            <v>01.0010</v>
          </cell>
          <cell r="I252" t="str">
            <v>דר טכנולוגיות בע"מ</v>
          </cell>
          <cell r="J252">
            <v>5.7</v>
          </cell>
          <cell r="K252" t="str">
            <v>₪</v>
          </cell>
          <cell r="L252">
            <v>1000</v>
          </cell>
          <cell r="M252" t="str">
            <v>יח'</v>
          </cell>
          <cell r="N252">
            <v>5700</v>
          </cell>
        </row>
        <row r="253">
          <cell r="B253" t="str">
            <v>MS51830-103, INSERT, KEY-LOCKED, 6-32 N/L</v>
          </cell>
          <cell r="C253">
            <v>43163</v>
          </cell>
          <cell r="D253">
            <v>9</v>
          </cell>
          <cell r="E253" t="str">
            <v>קשיח</v>
          </cell>
          <cell r="F253" t="str">
            <v>01.0010</v>
          </cell>
          <cell r="G253">
            <v>46013</v>
          </cell>
          <cell r="H253" t="str">
            <v>01.0010</v>
          </cell>
          <cell r="I253" t="str">
            <v>גין מהנדסים בע"מ</v>
          </cell>
          <cell r="J253">
            <v>5.9</v>
          </cell>
          <cell r="K253" t="str">
            <v>₪</v>
          </cell>
          <cell r="L253">
            <v>900</v>
          </cell>
          <cell r="M253" t="str">
            <v>יח'</v>
          </cell>
          <cell r="N253">
            <v>5310</v>
          </cell>
        </row>
        <row r="254">
          <cell r="B254" t="str">
            <v>MS51830-103, INSERT, KEY-LOCKED, 6-32 N/L</v>
          </cell>
          <cell r="C254">
            <v>43163</v>
          </cell>
          <cell r="D254">
            <v>10</v>
          </cell>
          <cell r="E254" t="str">
            <v>קשיח</v>
          </cell>
          <cell r="F254" t="str">
            <v>01.0010</v>
          </cell>
          <cell r="G254">
            <v>46013</v>
          </cell>
          <cell r="H254" t="str">
            <v>01.0010</v>
          </cell>
          <cell r="I254" t="str">
            <v>גין מהנדסים בע"מ</v>
          </cell>
          <cell r="J254">
            <v>5.9</v>
          </cell>
          <cell r="K254" t="str">
            <v>₪</v>
          </cell>
          <cell r="L254">
            <v>900</v>
          </cell>
          <cell r="M254" t="str">
            <v>יח'</v>
          </cell>
          <cell r="N254">
            <v>5310</v>
          </cell>
        </row>
        <row r="255">
          <cell r="B255" t="str">
            <v>MS51830-103, INSERT, KEY-LOCKED, 6-32 N/L</v>
          </cell>
          <cell r="C255">
            <v>42690</v>
          </cell>
          <cell r="D255">
            <v>2</v>
          </cell>
          <cell r="E255" t="str">
            <v>קשיח</v>
          </cell>
          <cell r="F255" t="str">
            <v>01.0010</v>
          </cell>
          <cell r="G255">
            <v>45977</v>
          </cell>
          <cell r="H255" t="str">
            <v>01.0010</v>
          </cell>
          <cell r="I255" t="str">
            <v>גין מהנדסים בע"מ</v>
          </cell>
          <cell r="J255">
            <v>5.5</v>
          </cell>
          <cell r="K255" t="str">
            <v>₪</v>
          </cell>
          <cell r="L255">
            <v>800</v>
          </cell>
          <cell r="M255" t="str">
            <v>יח'</v>
          </cell>
          <cell r="N255">
            <v>4400</v>
          </cell>
        </row>
        <row r="256">
          <cell r="B256" t="str">
            <v>MS51830-103, INSERT, KEY-LOCKED, 6-32 N/L</v>
          </cell>
          <cell r="C256">
            <v>42278</v>
          </cell>
          <cell r="D256">
            <v>1</v>
          </cell>
          <cell r="E256" t="str">
            <v>קשיח</v>
          </cell>
          <cell r="F256" t="str">
            <v>01.0010</v>
          </cell>
          <cell r="G256">
            <v>45938</v>
          </cell>
          <cell r="H256" t="str">
            <v>01.0010</v>
          </cell>
          <cell r="I256" t="str">
            <v>גין מהנדסים בע"מ</v>
          </cell>
          <cell r="J256">
            <v>6.14</v>
          </cell>
          <cell r="K256" t="str">
            <v>₪</v>
          </cell>
          <cell r="L256">
            <v>900</v>
          </cell>
          <cell r="M256" t="str">
            <v>יח'</v>
          </cell>
          <cell r="N256">
            <v>5526</v>
          </cell>
        </row>
        <row r="257">
          <cell r="B257" t="str">
            <v>MS51830-103, INSERT, KEY-LOCKED, 6-32 N/L</v>
          </cell>
          <cell r="C257">
            <v>42278</v>
          </cell>
          <cell r="D257">
            <v>2</v>
          </cell>
          <cell r="E257" t="str">
            <v>קשיח</v>
          </cell>
          <cell r="F257" t="str">
            <v>01.0010</v>
          </cell>
          <cell r="G257">
            <v>45938</v>
          </cell>
          <cell r="H257" t="str">
            <v>01.0010</v>
          </cell>
          <cell r="I257" t="str">
            <v>גין מהנדסים בע"מ</v>
          </cell>
          <cell r="J257">
            <v>6.14</v>
          </cell>
          <cell r="K257" t="str">
            <v>₪</v>
          </cell>
          <cell r="L257">
            <v>900</v>
          </cell>
          <cell r="M257" t="str">
            <v>יח'</v>
          </cell>
          <cell r="N257">
            <v>5526</v>
          </cell>
        </row>
        <row r="258">
          <cell r="B258" t="str">
            <v>MS51830-103, INSERT, KEY-LOCKED, 6-32 N/L</v>
          </cell>
          <cell r="C258">
            <v>42266</v>
          </cell>
          <cell r="D258">
            <v>1</v>
          </cell>
          <cell r="E258" t="str">
            <v>קשיח</v>
          </cell>
          <cell r="F258" t="str">
            <v>01.0010</v>
          </cell>
          <cell r="G258">
            <v>45935</v>
          </cell>
          <cell r="H258" t="str">
            <v>01.0010</v>
          </cell>
          <cell r="I258" t="str">
            <v>דר טכנולוגיות בע"מ</v>
          </cell>
          <cell r="J258">
            <v>6.15</v>
          </cell>
          <cell r="K258" t="str">
            <v>₪</v>
          </cell>
          <cell r="L258">
            <v>100</v>
          </cell>
          <cell r="M258" t="str">
            <v>יח'</v>
          </cell>
          <cell r="N258">
            <v>615</v>
          </cell>
        </row>
        <row r="259">
          <cell r="B259" t="str">
            <v>MS51830-103, INSERT, KEY-LOCKED, 6-32 N/L</v>
          </cell>
          <cell r="C259">
            <v>39547</v>
          </cell>
          <cell r="D259">
            <v>2</v>
          </cell>
          <cell r="E259" t="str">
            <v>קשיח</v>
          </cell>
          <cell r="F259" t="str">
            <v>01.0010</v>
          </cell>
          <cell r="G259">
            <v>45683</v>
          </cell>
          <cell r="H259" t="str">
            <v>01.0010</v>
          </cell>
          <cell r="I259" t="str">
            <v>לוונשטיין טכנולוגיות בע"מ</v>
          </cell>
          <cell r="J259">
            <v>5.8</v>
          </cell>
          <cell r="K259" t="str">
            <v>₪</v>
          </cell>
          <cell r="L259">
            <v>6750</v>
          </cell>
          <cell r="M259" t="str">
            <v>יח'</v>
          </cell>
          <cell r="N259">
            <v>39150</v>
          </cell>
        </row>
        <row r="260">
          <cell r="B260" t="str">
            <v>MS51830-103, INSERT, KEY-LOCKED, 6-32 N/L</v>
          </cell>
          <cell r="C260">
            <v>38961</v>
          </cell>
          <cell r="D260">
            <v>1</v>
          </cell>
          <cell r="E260" t="str">
            <v>קשיח</v>
          </cell>
          <cell r="F260" t="str">
            <v>01.0010</v>
          </cell>
          <cell r="G260">
            <v>45624</v>
          </cell>
          <cell r="H260" t="str">
            <v>01.0010</v>
          </cell>
          <cell r="I260" t="str">
            <v>דר טכנולוגיות בע"מ</v>
          </cell>
          <cell r="J260">
            <v>5.9</v>
          </cell>
          <cell r="K260" t="str">
            <v>₪</v>
          </cell>
          <cell r="L260">
            <v>500</v>
          </cell>
          <cell r="M260" t="str">
            <v>יח'</v>
          </cell>
          <cell r="N260">
            <v>2950</v>
          </cell>
        </row>
        <row r="261">
          <cell r="B261" t="str">
            <v>MS51830-103, INSERT, KEY-LOCKED, 6-32 N/L</v>
          </cell>
          <cell r="C261">
            <v>38157</v>
          </cell>
          <cell r="D261">
            <v>1</v>
          </cell>
          <cell r="E261" t="str">
            <v>קשיח</v>
          </cell>
          <cell r="F261" t="str">
            <v>01.0010</v>
          </cell>
          <cell r="G261">
            <v>45531</v>
          </cell>
          <cell r="H261" t="str">
            <v>01.0010</v>
          </cell>
          <cell r="I261" t="str">
            <v>גין מהנדסים בע"מ</v>
          </cell>
          <cell r="J261">
            <v>5.4</v>
          </cell>
          <cell r="K261" t="str">
            <v>₪</v>
          </cell>
          <cell r="L261">
            <v>730</v>
          </cell>
          <cell r="M261" t="str">
            <v>יח'</v>
          </cell>
          <cell r="N261">
            <v>3942.0000000000005</v>
          </cell>
        </row>
        <row r="262">
          <cell r="B262" t="str">
            <v>MS51830-103, INSERT, KEY-LOCKED, 6-32 N/L</v>
          </cell>
          <cell r="C262">
            <v>37732</v>
          </cell>
          <cell r="D262">
            <v>1</v>
          </cell>
          <cell r="E262" t="str">
            <v>קשיח</v>
          </cell>
          <cell r="F262" t="str">
            <v>01.0010</v>
          </cell>
          <cell r="G262">
            <v>45487</v>
          </cell>
          <cell r="H262" t="str">
            <v>01.0010</v>
          </cell>
          <cell r="I262" t="str">
            <v>גין מהנדסים בע"מ</v>
          </cell>
          <cell r="J262">
            <v>5.4</v>
          </cell>
          <cell r="K262" t="str">
            <v>₪</v>
          </cell>
          <cell r="L262">
            <v>2100</v>
          </cell>
          <cell r="M262" t="str">
            <v>יח'</v>
          </cell>
          <cell r="N262">
            <v>11340</v>
          </cell>
        </row>
        <row r="263">
          <cell r="B263" t="str">
            <v>MS51830-103, INSERT, KEY-LOCKED, 6-32 N/L</v>
          </cell>
          <cell r="C263">
            <v>37718</v>
          </cell>
          <cell r="D263">
            <v>1</v>
          </cell>
          <cell r="E263" t="str">
            <v>קשיח</v>
          </cell>
          <cell r="F263" t="str">
            <v>01.0010</v>
          </cell>
          <cell r="G263">
            <v>45484</v>
          </cell>
          <cell r="H263" t="str">
            <v>01.0010</v>
          </cell>
          <cell r="I263" t="str">
            <v>גין מהנדסים בע"מ</v>
          </cell>
          <cell r="J263">
            <v>5.4</v>
          </cell>
          <cell r="K263" t="str">
            <v>₪</v>
          </cell>
          <cell r="L263">
            <v>500</v>
          </cell>
          <cell r="M263" t="str">
            <v>יח'</v>
          </cell>
          <cell r="N263">
            <v>2700</v>
          </cell>
        </row>
        <row r="264">
          <cell r="B264" t="str">
            <v>MS51830-103, INSERT, KEY-LOCKED, 6-32 N/L</v>
          </cell>
          <cell r="C264">
            <v>37149</v>
          </cell>
          <cell r="D264">
            <v>1</v>
          </cell>
          <cell r="E264" t="str">
            <v>קשיח</v>
          </cell>
          <cell r="F264" t="str">
            <v>01.0010</v>
          </cell>
          <cell r="G264">
            <v>45421</v>
          </cell>
          <cell r="H264" t="str">
            <v>01.0010</v>
          </cell>
          <cell r="I264" t="str">
            <v>גין מהנדסים בע"מ</v>
          </cell>
          <cell r="J264">
            <v>5.4</v>
          </cell>
          <cell r="K264" t="str">
            <v>₪</v>
          </cell>
          <cell r="L264">
            <v>1000</v>
          </cell>
          <cell r="M264" t="str">
            <v>יח'</v>
          </cell>
          <cell r="N264">
            <v>5400</v>
          </cell>
        </row>
        <row r="265">
          <cell r="B265" t="str">
            <v>MS51830-103, INSERT, KEY-LOCKED, 6-32 N/L</v>
          </cell>
          <cell r="C265">
            <v>36343</v>
          </cell>
          <cell r="D265">
            <v>1</v>
          </cell>
          <cell r="E265" t="str">
            <v>קשיח</v>
          </cell>
          <cell r="F265" t="str">
            <v>01.0010</v>
          </cell>
          <cell r="G265">
            <v>45327</v>
          </cell>
          <cell r="H265" t="str">
            <v>01.0010</v>
          </cell>
          <cell r="I265" t="str">
            <v>לוונשטיין טכנולוגיות בע"מ</v>
          </cell>
          <cell r="J265">
            <v>6.8000999999999996</v>
          </cell>
          <cell r="K265" t="str">
            <v>₪</v>
          </cell>
          <cell r="L265">
            <v>350</v>
          </cell>
          <cell r="M265" t="str">
            <v>יח'</v>
          </cell>
          <cell r="N265">
            <v>2380.0349999999999</v>
          </cell>
        </row>
        <row r="266">
          <cell r="B266" t="str">
            <v>MS51830-103, INSERT, KEY-LOCKED, 6-32 N/L</v>
          </cell>
          <cell r="C266">
            <v>35936</v>
          </cell>
          <cell r="D266">
            <v>3</v>
          </cell>
          <cell r="E266" t="str">
            <v>קשיח</v>
          </cell>
          <cell r="F266" t="str">
            <v>01.0010</v>
          </cell>
          <cell r="G266">
            <v>45286</v>
          </cell>
          <cell r="H266" t="str">
            <v>01.0010</v>
          </cell>
          <cell r="I266" t="str">
            <v>לוונשטיין טכנולוגיות בע"מ</v>
          </cell>
          <cell r="J266">
            <v>6.8</v>
          </cell>
          <cell r="K266" t="str">
            <v>₪</v>
          </cell>
          <cell r="L266">
            <v>400</v>
          </cell>
          <cell r="M266" t="str">
            <v>יח'</v>
          </cell>
          <cell r="N266">
            <v>2720</v>
          </cell>
        </row>
        <row r="267">
          <cell r="B267" t="str">
            <v>MS51830-103, INSERT, KEY-LOCKED, 6-32 N/L</v>
          </cell>
          <cell r="C267">
            <v>35646</v>
          </cell>
          <cell r="D267">
            <v>3</v>
          </cell>
          <cell r="E267" t="str">
            <v>קשיח</v>
          </cell>
          <cell r="F267" t="str">
            <v>01.0010</v>
          </cell>
          <cell r="G267">
            <v>45256</v>
          </cell>
          <cell r="H267" t="str">
            <v>01.0010</v>
          </cell>
          <cell r="I267" t="str">
            <v>לוונשטיין טכנולוגיות בע"מ</v>
          </cell>
          <cell r="J267">
            <v>6.8</v>
          </cell>
          <cell r="K267" t="str">
            <v>₪</v>
          </cell>
          <cell r="L267">
            <v>1200</v>
          </cell>
          <cell r="M267" t="str">
            <v>יח'</v>
          </cell>
          <cell r="N267">
            <v>8160</v>
          </cell>
        </row>
        <row r="268">
          <cell r="B268" t="str">
            <v>MS51830-103, INSERT, KEY-LOCKED, 6-32 N/L</v>
          </cell>
          <cell r="C268">
            <v>35426</v>
          </cell>
          <cell r="D268">
            <v>4</v>
          </cell>
          <cell r="E268" t="str">
            <v>קשיח</v>
          </cell>
          <cell r="F268" t="str">
            <v>01.0010</v>
          </cell>
          <cell r="G268">
            <v>45229</v>
          </cell>
          <cell r="H268" t="str">
            <v>01.0010</v>
          </cell>
          <cell r="I268" t="str">
            <v>לוונשטיין טכנולוגיות בע"מ</v>
          </cell>
          <cell r="J268">
            <v>7</v>
          </cell>
          <cell r="K268" t="str">
            <v>₪</v>
          </cell>
          <cell r="L268">
            <v>500</v>
          </cell>
          <cell r="M268" t="str">
            <v>יח'</v>
          </cell>
          <cell r="N268">
            <v>3500</v>
          </cell>
        </row>
        <row r="269">
          <cell r="B269" t="str">
            <v>MS51830-103, INSERT, KEY-LOCKED, 6-32 N/L</v>
          </cell>
          <cell r="C269">
            <v>28259</v>
          </cell>
          <cell r="D269">
            <v>2</v>
          </cell>
          <cell r="E269" t="str">
            <v>קשיח</v>
          </cell>
          <cell r="F269" t="str">
            <v>01.0010</v>
          </cell>
          <cell r="G269">
            <v>44249</v>
          </cell>
          <cell r="H269" t="str">
            <v>01.0010</v>
          </cell>
          <cell r="I269" t="str">
            <v>גין מהנדסים בע"מ</v>
          </cell>
          <cell r="J269">
            <v>3.9</v>
          </cell>
          <cell r="K269" t="str">
            <v>₪</v>
          </cell>
          <cell r="L269">
            <v>350</v>
          </cell>
          <cell r="M269" t="str">
            <v>יח'</v>
          </cell>
          <cell r="N269">
            <v>1365</v>
          </cell>
        </row>
        <row r="270">
          <cell r="B270" t="str">
            <v>MS51830-103, INSERT, KEY-LOCKED, 6-32 N/L</v>
          </cell>
          <cell r="C270">
            <v>28229</v>
          </cell>
          <cell r="D270">
            <v>2</v>
          </cell>
          <cell r="E270" t="str">
            <v>קשיח</v>
          </cell>
          <cell r="F270" t="str">
            <v>01.0010</v>
          </cell>
          <cell r="G270">
            <v>44245</v>
          </cell>
          <cell r="H270" t="str">
            <v>01.0010</v>
          </cell>
          <cell r="I270" t="str">
            <v>גין מהנדסים בע"מ</v>
          </cell>
          <cell r="J270">
            <v>3.9</v>
          </cell>
          <cell r="K270" t="str">
            <v>₪</v>
          </cell>
          <cell r="L270">
            <v>350</v>
          </cell>
          <cell r="M270" t="str">
            <v>יח'</v>
          </cell>
          <cell r="N270">
            <v>1365</v>
          </cell>
        </row>
        <row r="271">
          <cell r="B271" t="str">
            <v>MS51830-103, INSERT, KEY-LOCKED, 6-32 N/L</v>
          </cell>
          <cell r="C271">
            <v>28156</v>
          </cell>
          <cell r="D271">
            <v>1</v>
          </cell>
          <cell r="E271" t="str">
            <v>קשיח</v>
          </cell>
          <cell r="F271" t="str">
            <v>01.0010</v>
          </cell>
          <cell r="G271">
            <v>44237</v>
          </cell>
          <cell r="H271" t="str">
            <v>01.0010</v>
          </cell>
          <cell r="I271" t="str">
            <v>גין מהנדסים בע"מ</v>
          </cell>
          <cell r="J271">
            <v>3.9</v>
          </cell>
          <cell r="K271" t="str">
            <v>₪</v>
          </cell>
          <cell r="L271">
            <v>1000</v>
          </cell>
          <cell r="M271" t="str">
            <v>יח'</v>
          </cell>
          <cell r="N271">
            <v>3900</v>
          </cell>
        </row>
        <row r="272">
          <cell r="B272" t="str">
            <v>MS51830-103, INSERT, KEY-LOCKED, 6-32 N/L</v>
          </cell>
          <cell r="C272">
            <v>28159</v>
          </cell>
          <cell r="D272">
            <v>2</v>
          </cell>
          <cell r="E272" t="str">
            <v>קשיח</v>
          </cell>
          <cell r="F272" t="str">
            <v>01.0010</v>
          </cell>
          <cell r="G272">
            <v>44237</v>
          </cell>
          <cell r="H272" t="str">
            <v>01.0010</v>
          </cell>
          <cell r="I272" t="str">
            <v>גין מהנדסים בע"מ</v>
          </cell>
          <cell r="J272">
            <v>3.9</v>
          </cell>
          <cell r="K272" t="str">
            <v>₪</v>
          </cell>
          <cell r="L272">
            <v>1000</v>
          </cell>
          <cell r="M272" t="str">
            <v>יח'</v>
          </cell>
          <cell r="N272">
            <v>3900</v>
          </cell>
        </row>
        <row r="273">
          <cell r="B273" t="str">
            <v>MS51830-103, INSERT, KEY-LOCKED, 6-32 N/L</v>
          </cell>
          <cell r="C273">
            <v>25065</v>
          </cell>
          <cell r="D273">
            <v>4</v>
          </cell>
          <cell r="E273" t="str">
            <v>קשיח</v>
          </cell>
          <cell r="F273" t="str">
            <v>01.0010</v>
          </cell>
          <cell r="G273">
            <v>43783</v>
          </cell>
          <cell r="H273" t="str">
            <v>01.0010</v>
          </cell>
          <cell r="I273" t="str">
            <v>גין מהנדסים בע"מ</v>
          </cell>
          <cell r="J273">
            <v>4.2</v>
          </cell>
          <cell r="K273" t="str">
            <v>₪</v>
          </cell>
          <cell r="L273">
            <v>500</v>
          </cell>
          <cell r="M273" t="str">
            <v>יח'</v>
          </cell>
          <cell r="N273">
            <v>2100</v>
          </cell>
        </row>
        <row r="274">
          <cell r="B274" t="str">
            <v>MS51830-103, INSERT, KEY-LOCKED, 6-32 N/L</v>
          </cell>
          <cell r="C274">
            <v>24617</v>
          </cell>
          <cell r="D274">
            <v>4</v>
          </cell>
          <cell r="E274" t="str">
            <v>קשיח</v>
          </cell>
          <cell r="F274" t="str">
            <v>01.0010</v>
          </cell>
          <cell r="G274">
            <v>43710</v>
          </cell>
          <cell r="H274" t="str">
            <v>01.0010</v>
          </cell>
          <cell r="I274" t="str">
            <v>גין מהנדסים בע"מ</v>
          </cell>
          <cell r="J274">
            <v>4.1999000000000004</v>
          </cell>
          <cell r="K274" t="str">
            <v>₪</v>
          </cell>
          <cell r="L274">
            <v>300</v>
          </cell>
          <cell r="M274" t="str">
            <v>יח'</v>
          </cell>
          <cell r="N274">
            <v>1259.97</v>
          </cell>
        </row>
        <row r="275">
          <cell r="B275" t="str">
            <v>MS51830-103, INSERT, KEY-LOCKED, 6-32 N/L</v>
          </cell>
          <cell r="C275">
            <v>24531</v>
          </cell>
          <cell r="D275">
            <v>2</v>
          </cell>
          <cell r="E275" t="str">
            <v>קשיח</v>
          </cell>
          <cell r="F275" t="str">
            <v>01.0010</v>
          </cell>
          <cell r="G275">
            <v>43696</v>
          </cell>
          <cell r="H275" t="str">
            <v>01.0010</v>
          </cell>
          <cell r="I275" t="str">
            <v>גין מהנדסים בע"מ</v>
          </cell>
          <cell r="J275">
            <v>4.2</v>
          </cell>
          <cell r="K275" t="str">
            <v>₪</v>
          </cell>
          <cell r="L275">
            <v>400</v>
          </cell>
          <cell r="M275" t="str">
            <v>יח'</v>
          </cell>
          <cell r="N275">
            <v>1680</v>
          </cell>
        </row>
        <row r="276">
          <cell r="B276" t="str">
            <v>MS51830-103, INSERT, KEY-LOCKED, 6-32 N/L</v>
          </cell>
          <cell r="C276">
            <v>24179</v>
          </cell>
          <cell r="D276">
            <v>4</v>
          </cell>
          <cell r="E276" t="str">
            <v>קשיח</v>
          </cell>
          <cell r="F276" t="str">
            <v>01.0010</v>
          </cell>
          <cell r="G276">
            <v>43654</v>
          </cell>
          <cell r="H276" t="str">
            <v>01.0010</v>
          </cell>
          <cell r="I276" t="str">
            <v>גין מהנדסים בע"מ</v>
          </cell>
          <cell r="J276">
            <v>4.2</v>
          </cell>
          <cell r="K276" t="str">
            <v>₪</v>
          </cell>
          <cell r="L276">
            <v>200</v>
          </cell>
          <cell r="M276" t="str">
            <v>יח'</v>
          </cell>
          <cell r="N276">
            <v>840</v>
          </cell>
        </row>
        <row r="277">
          <cell r="B277" t="str">
            <v>MS51830-103, INSERT, KEY-LOCKED, 6-32 N/L</v>
          </cell>
          <cell r="C277">
            <v>11690</v>
          </cell>
          <cell r="D277">
            <v>1</v>
          </cell>
          <cell r="E277" t="str">
            <v>קשיח</v>
          </cell>
          <cell r="F277" t="str">
            <v>01.0010</v>
          </cell>
          <cell r="G277">
            <v>42481</v>
          </cell>
          <cell r="H277" t="str">
            <v>01.0010</v>
          </cell>
          <cell r="I277" t="str">
            <v>גין מהנדסים בע"מ</v>
          </cell>
          <cell r="J277">
            <v>4.5095999999999998</v>
          </cell>
          <cell r="K277" t="str">
            <v>₪</v>
          </cell>
          <cell r="M277" t="str">
            <v>יח'</v>
          </cell>
        </row>
        <row r="278">
          <cell r="B278" t="str">
            <v>MS51830-103, INSERT, KEY-LOCKED, 6-32 N/L</v>
          </cell>
          <cell r="C278">
            <v>2655</v>
          </cell>
          <cell r="D278">
            <v>3</v>
          </cell>
          <cell r="E278" t="str">
            <v>קשיח</v>
          </cell>
          <cell r="F278" t="str">
            <v>01.0010</v>
          </cell>
          <cell r="G278">
            <v>41406</v>
          </cell>
          <cell r="H278" t="str">
            <v>01.0010</v>
          </cell>
          <cell r="I278" t="str">
            <v>מלאי מקומי בע"מ</v>
          </cell>
          <cell r="K278" t="str">
            <v>₪</v>
          </cell>
          <cell r="L278">
            <v>1500</v>
          </cell>
          <cell r="M278" t="str">
            <v>יח'</v>
          </cell>
        </row>
        <row r="279">
          <cell r="B279" t="str">
            <v>MS51830-103, INSERT, KEY-LOCKED, 6-32 N/L</v>
          </cell>
          <cell r="C279">
            <v>2655</v>
          </cell>
          <cell r="D279">
            <v>7</v>
          </cell>
          <cell r="E279" t="str">
            <v>קשיח</v>
          </cell>
          <cell r="F279" t="str">
            <v>01.0010</v>
          </cell>
          <cell r="G279">
            <v>41406</v>
          </cell>
          <cell r="H279" t="str">
            <v>01.0010</v>
          </cell>
          <cell r="I279" t="str">
            <v>מלאי מקומי בע"מ</v>
          </cell>
          <cell r="K279" t="str">
            <v>₪</v>
          </cell>
          <cell r="L279">
            <v>1500</v>
          </cell>
          <cell r="M279" t="str">
            <v>יח'</v>
          </cell>
        </row>
        <row r="280">
          <cell r="B280" t="str">
            <v>הליקיול MS 124657</v>
          </cell>
          <cell r="C280">
            <v>328</v>
          </cell>
          <cell r="D280">
            <v>1</v>
          </cell>
          <cell r="E280" t="str">
            <v>קשיח</v>
          </cell>
          <cell r="F280" t="str">
            <v>01.0011</v>
          </cell>
          <cell r="G280">
            <v>41114</v>
          </cell>
          <cell r="H280" t="str">
            <v>01.0011</v>
          </cell>
          <cell r="I280" t="str">
            <v>מלאי מקומי בע"מ</v>
          </cell>
          <cell r="J280">
            <v>0.86</v>
          </cell>
          <cell r="K280" t="str">
            <v>₪</v>
          </cell>
          <cell r="L280">
            <v>500</v>
          </cell>
          <cell r="M280" t="str">
            <v>יח'</v>
          </cell>
          <cell r="N280">
            <v>430</v>
          </cell>
        </row>
        <row r="281">
          <cell r="B281" t="str">
            <v>MS51830-104, INSERT,SCREW THREAD</v>
          </cell>
          <cell r="C281">
            <v>44625</v>
          </cell>
          <cell r="D281">
            <v>1</v>
          </cell>
          <cell r="E281" t="str">
            <v>קשיח</v>
          </cell>
          <cell r="F281" t="str">
            <v>01.0012</v>
          </cell>
          <cell r="G281">
            <v>46049</v>
          </cell>
          <cell r="H281" t="str">
            <v>01.0012</v>
          </cell>
          <cell r="I281" t="str">
            <v>דר טכנולוגיות בע"מ</v>
          </cell>
          <cell r="J281">
            <v>6.4</v>
          </cell>
          <cell r="K281" t="str">
            <v>₪</v>
          </cell>
          <cell r="L281">
            <v>700</v>
          </cell>
          <cell r="M281" t="str">
            <v>יח'</v>
          </cell>
          <cell r="N281">
            <v>4480</v>
          </cell>
        </row>
        <row r="282">
          <cell r="B282" t="str">
            <v>קינסרט MS51830-104  402050056</v>
          </cell>
          <cell r="C282">
            <v>44456</v>
          </cell>
          <cell r="D282">
            <v>1</v>
          </cell>
          <cell r="E282" t="str">
            <v>קשיח</v>
          </cell>
          <cell r="F282" t="str">
            <v>01.0012</v>
          </cell>
          <cell r="G282">
            <v>46037</v>
          </cell>
          <cell r="H282" t="str">
            <v>01.0012</v>
          </cell>
          <cell r="I282" t="str">
            <v>גין מהנדסים בע"מ</v>
          </cell>
          <cell r="J282">
            <v>6.4</v>
          </cell>
          <cell r="K282" t="str">
            <v>₪</v>
          </cell>
          <cell r="L282">
            <v>200</v>
          </cell>
          <cell r="M282" t="str">
            <v>יח'</v>
          </cell>
          <cell r="N282">
            <v>1280</v>
          </cell>
        </row>
        <row r="283">
          <cell r="B283" t="str">
            <v>קינסרט MS51830-104  402050056</v>
          </cell>
          <cell r="C283">
            <v>43163</v>
          </cell>
          <cell r="D283">
            <v>5</v>
          </cell>
          <cell r="E283" t="str">
            <v>קשיח</v>
          </cell>
          <cell r="F283" t="str">
            <v>01.0012</v>
          </cell>
          <cell r="G283">
            <v>46013</v>
          </cell>
          <cell r="H283" t="str">
            <v>01.0012</v>
          </cell>
          <cell r="I283" t="str">
            <v>גין מהנדסים בע"מ</v>
          </cell>
          <cell r="J283">
            <v>6.4</v>
          </cell>
          <cell r="K283" t="str">
            <v>₪</v>
          </cell>
          <cell r="L283">
            <v>400</v>
          </cell>
          <cell r="M283" t="str">
            <v>יח'</v>
          </cell>
          <cell r="N283">
            <v>2560</v>
          </cell>
        </row>
        <row r="284">
          <cell r="B284" t="str">
            <v>קינסרט MS51830-104  402050056</v>
          </cell>
          <cell r="C284">
            <v>43163</v>
          </cell>
          <cell r="D284">
            <v>6</v>
          </cell>
          <cell r="E284" t="str">
            <v>קשיח</v>
          </cell>
          <cell r="F284" t="str">
            <v>01.0012</v>
          </cell>
          <cell r="G284">
            <v>46013</v>
          </cell>
          <cell r="H284" t="str">
            <v>01.0012</v>
          </cell>
          <cell r="I284" t="str">
            <v>גין מהנדסים בע"מ</v>
          </cell>
          <cell r="J284">
            <v>6.4</v>
          </cell>
          <cell r="K284" t="str">
            <v>₪</v>
          </cell>
          <cell r="L284">
            <v>400</v>
          </cell>
          <cell r="M284" t="str">
            <v>יח'</v>
          </cell>
          <cell r="N284">
            <v>2560</v>
          </cell>
        </row>
        <row r="285">
          <cell r="B285" t="str">
            <v>MS51830-104, INSERT,SCREW THREAD</v>
          </cell>
          <cell r="C285">
            <v>43099</v>
          </cell>
          <cell r="D285">
            <v>1</v>
          </cell>
          <cell r="E285" t="str">
            <v>קשיח</v>
          </cell>
          <cell r="F285" t="str">
            <v>01.0012</v>
          </cell>
          <cell r="G285">
            <v>46008</v>
          </cell>
          <cell r="H285" t="str">
            <v>01.0012</v>
          </cell>
          <cell r="I285" t="str">
            <v>דר טכנולוגיות בע"מ</v>
          </cell>
          <cell r="J285">
            <v>6.3</v>
          </cell>
          <cell r="K285" t="str">
            <v>₪</v>
          </cell>
          <cell r="L285">
            <v>400</v>
          </cell>
          <cell r="M285" t="str">
            <v>יח'</v>
          </cell>
          <cell r="N285">
            <v>2520</v>
          </cell>
        </row>
        <row r="286">
          <cell r="B286" t="str">
            <v>MS51830-104, INSERT,SCREW THREAD</v>
          </cell>
          <cell r="C286">
            <v>39752</v>
          </cell>
          <cell r="D286">
            <v>1</v>
          </cell>
          <cell r="E286" t="str">
            <v>קשיח</v>
          </cell>
          <cell r="F286" t="str">
            <v>01.0012</v>
          </cell>
          <cell r="G286">
            <v>45697</v>
          </cell>
          <cell r="H286" t="str">
            <v>01.0012</v>
          </cell>
          <cell r="I286" t="str">
            <v>דר טכנולוגיות בע"מ</v>
          </cell>
          <cell r="J286">
            <v>1.9</v>
          </cell>
          <cell r="K286" t="str">
            <v>$</v>
          </cell>
          <cell r="L286">
            <v>64</v>
          </cell>
          <cell r="M286" t="str">
            <v>יח'</v>
          </cell>
          <cell r="N286">
            <v>373.55520000000001</v>
          </cell>
        </row>
        <row r="287">
          <cell r="B287" t="str">
            <v>MS51830-104, INSERT,SCREW THREAD</v>
          </cell>
          <cell r="C287">
            <v>39587</v>
          </cell>
          <cell r="D287">
            <v>3</v>
          </cell>
          <cell r="E287" t="str">
            <v>קשיח</v>
          </cell>
          <cell r="F287" t="str">
            <v>01.0012</v>
          </cell>
          <cell r="G287">
            <v>45683</v>
          </cell>
          <cell r="H287" t="str">
            <v>01.0012</v>
          </cell>
          <cell r="I287" t="str">
            <v>דר טכנולוגיות בע"מ</v>
          </cell>
          <cell r="J287">
            <v>1.82</v>
          </cell>
          <cell r="K287" t="str">
            <v>$</v>
          </cell>
          <cell r="L287">
            <v>1000</v>
          </cell>
          <cell r="M287" t="str">
            <v>יח'</v>
          </cell>
          <cell r="N287">
            <v>5591.04</v>
          </cell>
        </row>
        <row r="288">
          <cell r="B288" t="str">
            <v>MS51830-104, INSERT,SCREW THREAD</v>
          </cell>
          <cell r="C288">
            <v>39587</v>
          </cell>
          <cell r="D288">
            <v>6</v>
          </cell>
          <cell r="E288" t="str">
            <v>קשיח</v>
          </cell>
          <cell r="F288" t="str">
            <v>01.0012</v>
          </cell>
          <cell r="G288">
            <v>45683</v>
          </cell>
          <cell r="H288" t="str">
            <v>01.0012</v>
          </cell>
          <cell r="I288" t="str">
            <v>דר טכנולוגיות בע"מ</v>
          </cell>
          <cell r="J288">
            <v>1.82</v>
          </cell>
          <cell r="K288" t="str">
            <v>$</v>
          </cell>
          <cell r="L288">
            <v>1000</v>
          </cell>
          <cell r="M288" t="str">
            <v>יח'</v>
          </cell>
          <cell r="N288">
            <v>5591.04</v>
          </cell>
        </row>
        <row r="289">
          <cell r="B289" t="str">
            <v>MS51830-104, INSERT,SCREW THREAD</v>
          </cell>
          <cell r="C289">
            <v>39587</v>
          </cell>
          <cell r="D289">
            <v>9</v>
          </cell>
          <cell r="E289" t="str">
            <v>קשיח</v>
          </cell>
          <cell r="F289" t="str">
            <v>01.0012</v>
          </cell>
          <cell r="G289">
            <v>45683</v>
          </cell>
          <cell r="H289" t="str">
            <v>01.0012</v>
          </cell>
          <cell r="I289" t="str">
            <v>דר טכנולוגיות בע"מ</v>
          </cell>
          <cell r="J289">
            <v>1.82</v>
          </cell>
          <cell r="K289" t="str">
            <v>$</v>
          </cell>
          <cell r="L289">
            <v>1000</v>
          </cell>
          <cell r="M289" t="str">
            <v>יח'</v>
          </cell>
          <cell r="N289">
            <v>5591.04</v>
          </cell>
        </row>
        <row r="290">
          <cell r="B290" t="str">
            <v>קינסרט MS51830-104  402050056</v>
          </cell>
          <cell r="C290">
            <v>39310</v>
          </cell>
          <cell r="D290">
            <v>1</v>
          </cell>
          <cell r="E290" t="str">
            <v>קשיח</v>
          </cell>
          <cell r="F290" t="str">
            <v>01.0012</v>
          </cell>
          <cell r="G290">
            <v>45655</v>
          </cell>
          <cell r="H290" t="str">
            <v>01.0012</v>
          </cell>
          <cell r="I290" t="str">
            <v>דר טכנולוגיות בע"מ</v>
          </cell>
          <cell r="J290">
            <v>5.95</v>
          </cell>
          <cell r="K290" t="str">
            <v>₪</v>
          </cell>
          <cell r="L290">
            <v>600</v>
          </cell>
          <cell r="M290" t="str">
            <v>יח'</v>
          </cell>
          <cell r="N290">
            <v>3570</v>
          </cell>
        </row>
        <row r="291">
          <cell r="B291" t="str">
            <v>קינסרט MS51830-104  402050056</v>
          </cell>
          <cell r="C291">
            <v>39186</v>
          </cell>
          <cell r="D291">
            <v>3</v>
          </cell>
          <cell r="E291" t="str">
            <v>קשיח</v>
          </cell>
          <cell r="F291" t="str">
            <v>01.0012</v>
          </cell>
          <cell r="G291">
            <v>45644</v>
          </cell>
          <cell r="H291" t="str">
            <v>01.0012</v>
          </cell>
          <cell r="I291" t="str">
            <v>דר טכנולוגיות בע"מ</v>
          </cell>
          <cell r="J291">
            <v>6</v>
          </cell>
          <cell r="K291" t="str">
            <v>₪</v>
          </cell>
          <cell r="L291">
            <v>250</v>
          </cell>
          <cell r="M291" t="str">
            <v>יח'</v>
          </cell>
          <cell r="N291">
            <v>1500</v>
          </cell>
        </row>
        <row r="292">
          <cell r="B292" t="str">
            <v>MS51830-104, INSERT,SCREW THREAD</v>
          </cell>
          <cell r="C292">
            <v>38679</v>
          </cell>
          <cell r="D292">
            <v>1</v>
          </cell>
          <cell r="E292" t="str">
            <v>קשיח</v>
          </cell>
          <cell r="F292" t="str">
            <v>01.0012</v>
          </cell>
          <cell r="G292">
            <v>45595</v>
          </cell>
          <cell r="H292" t="str">
            <v>01.0012</v>
          </cell>
          <cell r="I292" t="str">
            <v>לוונשטיין טכנולוגיות בע"מ</v>
          </cell>
          <cell r="J292">
            <v>6.4</v>
          </cell>
          <cell r="K292" t="str">
            <v>₪</v>
          </cell>
          <cell r="L292">
            <v>200</v>
          </cell>
          <cell r="M292" t="str">
            <v>יח'</v>
          </cell>
          <cell r="N292">
            <v>1280</v>
          </cell>
        </row>
        <row r="293">
          <cell r="B293" t="str">
            <v>קינסרט MS51830-104  402050056</v>
          </cell>
          <cell r="C293">
            <v>35426</v>
          </cell>
          <cell r="D293">
            <v>1</v>
          </cell>
          <cell r="E293" t="str">
            <v>קשיח</v>
          </cell>
          <cell r="F293" t="str">
            <v>01.0012</v>
          </cell>
          <cell r="G293">
            <v>45229</v>
          </cell>
          <cell r="H293" t="str">
            <v>01.0012</v>
          </cell>
          <cell r="I293" t="str">
            <v>לוונשטיין טכנולוגיות בע"מ</v>
          </cell>
          <cell r="J293">
            <v>6.7</v>
          </cell>
          <cell r="K293" t="str">
            <v>₪</v>
          </cell>
          <cell r="L293">
            <v>500</v>
          </cell>
          <cell r="M293" t="str">
            <v>יח'</v>
          </cell>
          <cell r="N293">
            <v>3350</v>
          </cell>
        </row>
        <row r="294">
          <cell r="B294" t="str">
            <v>קינסרט MS51830-104  402050056</v>
          </cell>
          <cell r="C294">
            <v>33571</v>
          </cell>
          <cell r="D294">
            <v>1</v>
          </cell>
          <cell r="E294" t="str">
            <v>קשיח</v>
          </cell>
          <cell r="F294" t="str">
            <v>01.0012</v>
          </cell>
          <cell r="G294">
            <v>45004</v>
          </cell>
          <cell r="H294" t="str">
            <v>01.0012</v>
          </cell>
          <cell r="I294" t="str">
            <v>לוונשטיין טכנולוגיות בע"מ</v>
          </cell>
          <cell r="J294">
            <v>6.6</v>
          </cell>
          <cell r="K294" t="str">
            <v>₪</v>
          </cell>
          <cell r="L294">
            <v>300</v>
          </cell>
          <cell r="M294" t="str">
            <v>יח'</v>
          </cell>
          <cell r="N294">
            <v>1980</v>
          </cell>
        </row>
        <row r="295">
          <cell r="B295" t="str">
            <v>קינסרט MS51830-104  402050056</v>
          </cell>
          <cell r="C295">
            <v>33528</v>
          </cell>
          <cell r="D295">
            <v>1</v>
          </cell>
          <cell r="E295" t="str">
            <v>קשיח</v>
          </cell>
          <cell r="F295" t="str">
            <v>01.0012</v>
          </cell>
          <cell r="G295">
            <v>44994</v>
          </cell>
          <cell r="H295" t="str">
            <v>01.0012</v>
          </cell>
          <cell r="I295" t="str">
            <v>גין מהנדסים בע"מ</v>
          </cell>
          <cell r="J295">
            <v>6.35</v>
          </cell>
          <cell r="K295" t="str">
            <v>₪</v>
          </cell>
          <cell r="L295">
            <v>1000</v>
          </cell>
          <cell r="M295" t="str">
            <v>יח'</v>
          </cell>
          <cell r="N295">
            <v>6350</v>
          </cell>
        </row>
        <row r="296">
          <cell r="B296" t="str">
            <v>קינסרט MS51830-104  402050056</v>
          </cell>
          <cell r="C296">
            <v>33515</v>
          </cell>
          <cell r="D296">
            <v>1</v>
          </cell>
          <cell r="E296" t="str">
            <v>קשיח</v>
          </cell>
          <cell r="F296" t="str">
            <v>01.0012</v>
          </cell>
          <cell r="G296">
            <v>44991</v>
          </cell>
          <cell r="H296" t="str">
            <v>01.0012</v>
          </cell>
          <cell r="I296" t="str">
            <v>לוונשטיין טכנולוגיות בע"מ</v>
          </cell>
          <cell r="J296">
            <v>5.6</v>
          </cell>
          <cell r="K296" t="str">
            <v>₪</v>
          </cell>
          <cell r="L296">
            <v>1000</v>
          </cell>
          <cell r="M296" t="str">
            <v>יח'</v>
          </cell>
          <cell r="N296">
            <v>5600</v>
          </cell>
        </row>
        <row r="297">
          <cell r="B297" t="str">
            <v>קינסרט MS51830-104  402050056</v>
          </cell>
          <cell r="C297">
            <v>28159</v>
          </cell>
          <cell r="D297">
            <v>4</v>
          </cell>
          <cell r="E297" t="str">
            <v>קשיח</v>
          </cell>
          <cell r="F297" t="str">
            <v>01.0012</v>
          </cell>
          <cell r="G297">
            <v>44237</v>
          </cell>
          <cell r="H297" t="str">
            <v>01.0012</v>
          </cell>
          <cell r="I297" t="str">
            <v>גין מהנדסים בע"מ</v>
          </cell>
          <cell r="J297">
            <v>3.9</v>
          </cell>
          <cell r="K297" t="str">
            <v>₪</v>
          </cell>
          <cell r="L297">
            <v>700</v>
          </cell>
          <cell r="M297" t="str">
            <v>יח'</v>
          </cell>
          <cell r="N297">
            <v>2730</v>
          </cell>
        </row>
        <row r="298">
          <cell r="B298" t="str">
            <v>MS51830-104, INSERT,SCREW THREAD</v>
          </cell>
          <cell r="C298">
            <v>28099</v>
          </cell>
          <cell r="D298">
            <v>1</v>
          </cell>
          <cell r="E298" t="str">
            <v>קשיח</v>
          </cell>
          <cell r="F298" t="str">
            <v>01.0012</v>
          </cell>
          <cell r="G298">
            <v>44231</v>
          </cell>
          <cell r="H298" t="str">
            <v>01.0012</v>
          </cell>
          <cell r="I298" t="str">
            <v>גין מהנדסים בע"מ</v>
          </cell>
          <cell r="J298">
            <v>3.9</v>
          </cell>
          <cell r="K298" t="str">
            <v>₪</v>
          </cell>
          <cell r="L298">
            <v>1000</v>
          </cell>
          <cell r="M298" t="str">
            <v>יח'</v>
          </cell>
          <cell r="N298">
            <v>3900</v>
          </cell>
        </row>
        <row r="299">
          <cell r="B299" t="str">
            <v>MS51830-104, INSERT,SCREW THREAD</v>
          </cell>
          <cell r="C299">
            <v>27128</v>
          </cell>
          <cell r="D299">
            <v>1</v>
          </cell>
          <cell r="E299" t="str">
            <v>קשיח</v>
          </cell>
          <cell r="F299" t="str">
            <v>01.0012</v>
          </cell>
          <cell r="G299">
            <v>44095</v>
          </cell>
          <cell r="H299" t="str">
            <v>01.0012</v>
          </cell>
          <cell r="I299" t="str">
            <v>דר טכנולוגיות בע"מ</v>
          </cell>
          <cell r="J299">
            <v>4.0999999999999996</v>
          </cell>
          <cell r="K299" t="str">
            <v>₪</v>
          </cell>
          <cell r="L299">
            <v>300</v>
          </cell>
          <cell r="M299" t="str">
            <v>יח'</v>
          </cell>
          <cell r="N299">
            <v>1230</v>
          </cell>
        </row>
        <row r="300">
          <cell r="B300" t="str">
            <v>קינסרט MS51830-104  402050056</v>
          </cell>
          <cell r="C300">
            <v>26766</v>
          </cell>
          <cell r="D300">
            <v>3</v>
          </cell>
          <cell r="E300" t="str">
            <v>קשיח</v>
          </cell>
          <cell r="F300" t="str">
            <v>01.0012</v>
          </cell>
          <cell r="G300">
            <v>44042</v>
          </cell>
          <cell r="H300" t="str">
            <v>01.0012</v>
          </cell>
          <cell r="I300" t="str">
            <v>דר טכנולוגיות בע"מ</v>
          </cell>
          <cell r="J300">
            <v>4.0999999999999996</v>
          </cell>
          <cell r="K300" t="str">
            <v>₪</v>
          </cell>
          <cell r="L300">
            <v>500</v>
          </cell>
          <cell r="M300" t="str">
            <v>יח'</v>
          </cell>
          <cell r="N300">
            <v>2050</v>
          </cell>
        </row>
        <row r="301">
          <cell r="B301" t="str">
            <v>MS51830-104, INSERT,SCREW THREAD</v>
          </cell>
          <cell r="C301">
            <v>25531</v>
          </cell>
          <cell r="D301">
            <v>1</v>
          </cell>
          <cell r="E301" t="str">
            <v>קשיח</v>
          </cell>
          <cell r="F301" t="str">
            <v>01.0012</v>
          </cell>
          <cell r="G301">
            <v>43859</v>
          </cell>
          <cell r="H301" t="str">
            <v>01.0012</v>
          </cell>
          <cell r="I301" t="str">
            <v>דר טכנולוגיות בע"מ</v>
          </cell>
          <cell r="J301">
            <v>4.0999999999999996</v>
          </cell>
          <cell r="K301" t="str">
            <v>₪</v>
          </cell>
          <cell r="L301">
            <v>200</v>
          </cell>
          <cell r="M301" t="str">
            <v>יח'</v>
          </cell>
          <cell r="N301">
            <v>819.99999999999989</v>
          </cell>
        </row>
        <row r="302">
          <cell r="B302" t="str">
            <v>קינסרט MS51830-104  402050056</v>
          </cell>
          <cell r="C302">
            <v>24179</v>
          </cell>
          <cell r="D302">
            <v>5</v>
          </cell>
          <cell r="E302" t="str">
            <v>קשיח</v>
          </cell>
          <cell r="F302" t="str">
            <v>01.0012</v>
          </cell>
          <cell r="G302">
            <v>43654</v>
          </cell>
          <cell r="H302" t="str">
            <v>01.0012</v>
          </cell>
          <cell r="I302" t="str">
            <v>גין מהנדסים בע"מ</v>
          </cell>
          <cell r="J302">
            <v>4.1900000000000004</v>
          </cell>
          <cell r="K302" t="str">
            <v>₪</v>
          </cell>
          <cell r="L302">
            <v>200</v>
          </cell>
          <cell r="M302" t="str">
            <v>יח'</v>
          </cell>
          <cell r="N302">
            <v>838.00000000000011</v>
          </cell>
        </row>
        <row r="303">
          <cell r="B303" t="str">
            <v>MS51830-104, INSERT,SCREW THREAD</v>
          </cell>
          <cell r="C303">
            <v>23476</v>
          </cell>
          <cell r="D303">
            <v>1</v>
          </cell>
          <cell r="E303" t="str">
            <v>קשיח</v>
          </cell>
          <cell r="F303" t="str">
            <v>01.0012</v>
          </cell>
          <cell r="G303">
            <v>43570</v>
          </cell>
          <cell r="H303" t="str">
            <v>01.0012</v>
          </cell>
          <cell r="I303" t="str">
            <v>גין מהנדסים בע"מ</v>
          </cell>
          <cell r="J303">
            <v>1.17</v>
          </cell>
          <cell r="K303" t="str">
            <v>$</v>
          </cell>
          <cell r="L303">
            <v>500</v>
          </cell>
          <cell r="M303" t="str">
            <v>יח'</v>
          </cell>
          <cell r="N303">
            <v>1797.1200000000001</v>
          </cell>
        </row>
        <row r="304">
          <cell r="B304" t="str">
            <v>קינסרט MS51830-104  402050056</v>
          </cell>
          <cell r="C304">
            <v>9091</v>
          </cell>
          <cell r="D304">
            <v>1</v>
          </cell>
          <cell r="E304" t="str">
            <v>קשיח</v>
          </cell>
          <cell r="F304" t="str">
            <v>01.0012</v>
          </cell>
          <cell r="G304">
            <v>42179</v>
          </cell>
          <cell r="H304" t="str">
            <v>01.0012</v>
          </cell>
          <cell r="I304" t="str">
            <v>גין מהנדסים בע"מ</v>
          </cell>
          <cell r="J304">
            <v>4.1191000000000004</v>
          </cell>
          <cell r="K304" t="str">
            <v>₪</v>
          </cell>
          <cell r="M304" t="str">
            <v>יח'</v>
          </cell>
        </row>
        <row r="305">
          <cell r="B305" t="str">
            <v>קינסרט MS51830-104  402050056</v>
          </cell>
          <cell r="C305">
            <v>1618</v>
          </cell>
          <cell r="D305">
            <v>3</v>
          </cell>
          <cell r="E305" t="str">
            <v>קשיח</v>
          </cell>
          <cell r="F305" t="str">
            <v>01.0012</v>
          </cell>
          <cell r="G305">
            <v>41274</v>
          </cell>
          <cell r="H305" t="str">
            <v>01.0012</v>
          </cell>
          <cell r="I305" t="str">
            <v>גין מהנדסים בע"מ</v>
          </cell>
          <cell r="J305">
            <v>1.1499999999999999</v>
          </cell>
          <cell r="K305" t="str">
            <v>$</v>
          </cell>
          <cell r="L305">
            <v>600</v>
          </cell>
          <cell r="M305" t="str">
            <v>יח'</v>
          </cell>
          <cell r="N305">
            <v>2119.6799999999998</v>
          </cell>
        </row>
        <row r="306">
          <cell r="B306" t="str">
            <v>קינסרט MS51830-104  402050056</v>
          </cell>
          <cell r="C306">
            <v>1405</v>
          </cell>
          <cell r="D306">
            <v>3</v>
          </cell>
          <cell r="E306" t="str">
            <v>קשיח</v>
          </cell>
          <cell r="F306" t="str">
            <v>01.0012</v>
          </cell>
          <cell r="G306">
            <v>41252</v>
          </cell>
          <cell r="H306" t="str">
            <v>01.0012</v>
          </cell>
          <cell r="I306" t="str">
            <v>לוונשטיין טכנולוגיות</v>
          </cell>
          <cell r="J306">
            <v>0.95</v>
          </cell>
          <cell r="K306" t="str">
            <v>$</v>
          </cell>
          <cell r="L306">
            <v>1000</v>
          </cell>
          <cell r="M306" t="str">
            <v>יח'</v>
          </cell>
          <cell r="N306">
            <v>2918.4</v>
          </cell>
        </row>
        <row r="307">
          <cell r="B307" t="str">
            <v>קינסרט MS51830-104  402050056</v>
          </cell>
          <cell r="C307">
            <v>1141</v>
          </cell>
          <cell r="D307">
            <v>3</v>
          </cell>
          <cell r="E307" t="str">
            <v>קשיח</v>
          </cell>
          <cell r="F307" t="str">
            <v>01.0012</v>
          </cell>
          <cell r="G307">
            <v>41218</v>
          </cell>
          <cell r="H307" t="str">
            <v>01.0012</v>
          </cell>
          <cell r="I307" t="str">
            <v>גין מהנדסים בע"מ</v>
          </cell>
          <cell r="J307">
            <v>1.1495</v>
          </cell>
          <cell r="K307" t="str">
            <v>$</v>
          </cell>
          <cell r="L307">
            <v>600</v>
          </cell>
          <cell r="M307" t="str">
            <v>יח'</v>
          </cell>
          <cell r="N307">
            <v>2118.7583999999997</v>
          </cell>
        </row>
        <row r="308">
          <cell r="B308" t="str">
            <v>MS51830-102, INSERT, SCREW THREAD 10-32X.170</v>
          </cell>
          <cell r="C308">
            <v>44632</v>
          </cell>
          <cell r="D308">
            <v>1</v>
          </cell>
          <cell r="E308" t="str">
            <v>קשיח</v>
          </cell>
          <cell r="F308" t="str">
            <v>01.0013</v>
          </cell>
          <cell r="G308">
            <v>46049</v>
          </cell>
          <cell r="H308" t="str">
            <v>01.0013</v>
          </cell>
          <cell r="I308" t="str">
            <v>גין מהנדסים בע"מ</v>
          </cell>
          <cell r="J308">
            <v>6.2</v>
          </cell>
          <cell r="K308" t="str">
            <v>₪</v>
          </cell>
          <cell r="L308">
            <v>100</v>
          </cell>
          <cell r="M308" t="str">
            <v>יח'</v>
          </cell>
          <cell r="N308">
            <v>620</v>
          </cell>
        </row>
        <row r="309">
          <cell r="B309" t="str">
            <v>אינסרט MS 51830-102</v>
          </cell>
          <cell r="C309">
            <v>44640</v>
          </cell>
          <cell r="D309">
            <v>1</v>
          </cell>
          <cell r="E309" t="str">
            <v>קשיח</v>
          </cell>
          <cell r="F309" t="str">
            <v>01.0013</v>
          </cell>
          <cell r="G309">
            <v>46049</v>
          </cell>
          <cell r="H309" t="str">
            <v>01.0013</v>
          </cell>
          <cell r="I309" t="str">
            <v>גין מהנדסים בע"מ</v>
          </cell>
          <cell r="J309">
            <v>6.2</v>
          </cell>
          <cell r="K309" t="str">
            <v>₪</v>
          </cell>
          <cell r="L309">
            <v>400</v>
          </cell>
          <cell r="M309" t="str">
            <v>יח'</v>
          </cell>
          <cell r="N309">
            <v>2480</v>
          </cell>
        </row>
        <row r="310">
          <cell r="B310" t="str">
            <v>אינסרט MS 51830-102 402050078</v>
          </cell>
          <cell r="C310">
            <v>42986</v>
          </cell>
          <cell r="D310">
            <v>1</v>
          </cell>
          <cell r="E310" t="str">
            <v>קשיח</v>
          </cell>
          <cell r="F310" t="str">
            <v>01.0013</v>
          </cell>
          <cell r="G310">
            <v>45999</v>
          </cell>
          <cell r="H310" t="str">
            <v>01.0013</v>
          </cell>
          <cell r="I310" t="str">
            <v>גין מהנדסים בע"מ</v>
          </cell>
          <cell r="J310">
            <v>6.9</v>
          </cell>
          <cell r="K310" t="str">
            <v>₪</v>
          </cell>
          <cell r="L310">
            <v>400</v>
          </cell>
          <cell r="M310" t="str">
            <v>יח'</v>
          </cell>
          <cell r="N310">
            <v>2760</v>
          </cell>
        </row>
        <row r="311">
          <cell r="B311" t="str">
            <v>אינסרט MS 51830-102 402050078</v>
          </cell>
          <cell r="C311">
            <v>42986</v>
          </cell>
          <cell r="D311">
            <v>2</v>
          </cell>
          <cell r="E311" t="str">
            <v>קשיח</v>
          </cell>
          <cell r="F311" t="str">
            <v>01.0013</v>
          </cell>
          <cell r="G311">
            <v>45999</v>
          </cell>
          <cell r="H311" t="str">
            <v>01.0013</v>
          </cell>
          <cell r="I311" t="str">
            <v>גין מהנדסים בע"מ</v>
          </cell>
          <cell r="J311">
            <v>6.9</v>
          </cell>
          <cell r="K311" t="str">
            <v>₪</v>
          </cell>
          <cell r="L311">
            <v>400</v>
          </cell>
          <cell r="M311" t="str">
            <v>יח'</v>
          </cell>
          <cell r="N311">
            <v>2760</v>
          </cell>
        </row>
        <row r="312">
          <cell r="B312" t="str">
            <v>MS51830-102, INSERT, SCREW THREAD 10-32X.170</v>
          </cell>
          <cell r="C312">
            <v>42264</v>
          </cell>
          <cell r="D312">
            <v>1</v>
          </cell>
          <cell r="E312" t="str">
            <v>קשיח</v>
          </cell>
          <cell r="F312" t="str">
            <v>01.0013</v>
          </cell>
          <cell r="G312">
            <v>45935</v>
          </cell>
          <cell r="H312" t="str">
            <v>01.0013</v>
          </cell>
          <cell r="I312" t="str">
            <v>ברמיל בע"מ</v>
          </cell>
          <cell r="J312">
            <v>7.4</v>
          </cell>
          <cell r="K312" t="str">
            <v>₪</v>
          </cell>
          <cell r="L312">
            <v>200</v>
          </cell>
          <cell r="M312" t="str">
            <v>יח'</v>
          </cell>
          <cell r="N312">
            <v>1480</v>
          </cell>
        </row>
        <row r="313">
          <cell r="B313" t="str">
            <v>MS51830-102, INSERT, SCREW THREAD 10-32X.170</v>
          </cell>
          <cell r="C313">
            <v>42071</v>
          </cell>
          <cell r="D313">
            <v>1</v>
          </cell>
          <cell r="E313" t="str">
            <v>קשיח</v>
          </cell>
          <cell r="F313" t="str">
            <v>01.0013</v>
          </cell>
          <cell r="G313">
            <v>45908</v>
          </cell>
          <cell r="H313" t="str">
            <v>01.0013</v>
          </cell>
          <cell r="I313" t="str">
            <v>דר טכנולוגיות בע"מ</v>
          </cell>
          <cell r="J313">
            <v>7.4</v>
          </cell>
          <cell r="K313" t="str">
            <v>₪</v>
          </cell>
          <cell r="L313">
            <v>30</v>
          </cell>
          <cell r="M313" t="str">
            <v>יח'</v>
          </cell>
          <cell r="N313">
            <v>222</v>
          </cell>
        </row>
        <row r="314">
          <cell r="B314" t="str">
            <v>MS51830-102, INSERT, SCREW THREAD 10-32X.170</v>
          </cell>
          <cell r="C314">
            <v>41454</v>
          </cell>
          <cell r="D314">
            <v>1</v>
          </cell>
          <cell r="E314" t="str">
            <v>קשיח</v>
          </cell>
          <cell r="F314" t="str">
            <v>01.0013</v>
          </cell>
          <cell r="G314">
            <v>45852</v>
          </cell>
          <cell r="H314" t="str">
            <v>01.0013</v>
          </cell>
          <cell r="I314" t="str">
            <v>דר טכנולוגיות בע"מ</v>
          </cell>
          <cell r="J314">
            <v>7.4</v>
          </cell>
          <cell r="K314" t="str">
            <v>₪</v>
          </cell>
          <cell r="L314">
            <v>30</v>
          </cell>
          <cell r="M314" t="str">
            <v>יח'</v>
          </cell>
          <cell r="N314">
            <v>222</v>
          </cell>
        </row>
        <row r="315">
          <cell r="B315" t="str">
            <v>MS51830-102, INSERT, SCREW THREAD 10-32X.170</v>
          </cell>
          <cell r="C315">
            <v>39675</v>
          </cell>
          <cell r="D315">
            <v>1</v>
          </cell>
          <cell r="E315" t="str">
            <v>קשיח</v>
          </cell>
          <cell r="F315" t="str">
            <v>01.0013</v>
          </cell>
          <cell r="G315">
            <v>45690</v>
          </cell>
          <cell r="H315" t="str">
            <v>01.0013</v>
          </cell>
          <cell r="I315" t="str">
            <v>דר טכנולוגיות בע"מ</v>
          </cell>
          <cell r="J315">
            <v>6.9</v>
          </cell>
          <cell r="K315" t="str">
            <v>₪</v>
          </cell>
          <cell r="L315">
            <v>150</v>
          </cell>
          <cell r="M315" t="str">
            <v>יח'</v>
          </cell>
          <cell r="N315">
            <v>1035</v>
          </cell>
        </row>
        <row r="316">
          <cell r="B316" t="str">
            <v>MS51830-102, INSERT, SCREW THREAD 10-32X.170</v>
          </cell>
          <cell r="C316">
            <v>36879</v>
          </cell>
          <cell r="D316">
            <v>1</v>
          </cell>
          <cell r="E316" t="str">
            <v>קשיח</v>
          </cell>
          <cell r="F316" t="str">
            <v>01.0013</v>
          </cell>
          <cell r="G316">
            <v>45390</v>
          </cell>
          <cell r="H316" t="str">
            <v>01.0013</v>
          </cell>
          <cell r="I316" t="str">
            <v>לוונשטיין טכנולוגיות בע"מ</v>
          </cell>
          <cell r="J316">
            <v>9.1</v>
          </cell>
          <cell r="K316" t="str">
            <v>₪</v>
          </cell>
          <cell r="L316">
            <v>50</v>
          </cell>
          <cell r="M316" t="str">
            <v>יח'</v>
          </cell>
          <cell r="N316">
            <v>455</v>
          </cell>
        </row>
        <row r="317">
          <cell r="B317" t="str">
            <v>MS51830-102, INSERT, SCREW THREAD 10-32X.170</v>
          </cell>
          <cell r="C317">
            <v>36174</v>
          </cell>
          <cell r="D317">
            <v>1</v>
          </cell>
          <cell r="E317" t="str">
            <v>קשיח</v>
          </cell>
          <cell r="F317" t="str">
            <v>01.0013</v>
          </cell>
          <cell r="G317">
            <v>45312</v>
          </cell>
          <cell r="H317" t="str">
            <v>01.0013</v>
          </cell>
          <cell r="I317" t="str">
            <v>לוונשטיין טכנולוגיות בע"מ</v>
          </cell>
          <cell r="J317">
            <v>9.1</v>
          </cell>
          <cell r="K317" t="str">
            <v>₪</v>
          </cell>
          <cell r="L317">
            <v>50</v>
          </cell>
          <cell r="M317" t="str">
            <v>יח'</v>
          </cell>
          <cell r="N317">
            <v>455</v>
          </cell>
        </row>
        <row r="318">
          <cell r="B318" t="str">
            <v>אינסרט MS 51830-102</v>
          </cell>
          <cell r="C318">
            <v>35426</v>
          </cell>
          <cell r="D318">
            <v>2</v>
          </cell>
          <cell r="E318" t="str">
            <v>קשיח</v>
          </cell>
          <cell r="F318" t="str">
            <v>01.0013</v>
          </cell>
          <cell r="G318">
            <v>45229</v>
          </cell>
          <cell r="H318" t="str">
            <v>01.0013</v>
          </cell>
          <cell r="I318" t="str">
            <v>לוונשטיין טכנולוגיות בע"מ</v>
          </cell>
          <cell r="J318">
            <v>9.1</v>
          </cell>
          <cell r="K318" t="str">
            <v>₪</v>
          </cell>
          <cell r="L318">
            <v>1000</v>
          </cell>
          <cell r="M318" t="str">
            <v>יח'</v>
          </cell>
          <cell r="N318">
            <v>9100</v>
          </cell>
        </row>
        <row r="319">
          <cell r="B319" t="str">
            <v>אינסרט MS 51830-102</v>
          </cell>
          <cell r="C319">
            <v>28346</v>
          </cell>
          <cell r="D319">
            <v>1</v>
          </cell>
          <cell r="E319" t="str">
            <v>קשיח</v>
          </cell>
          <cell r="F319" t="str">
            <v>01.0013</v>
          </cell>
          <cell r="G319">
            <v>44259</v>
          </cell>
          <cell r="H319" t="str">
            <v>01.0013</v>
          </cell>
          <cell r="I319" t="str">
            <v>גין מהנדסים בע"מ</v>
          </cell>
          <cell r="J319">
            <v>3.9</v>
          </cell>
          <cell r="K319" t="str">
            <v>₪</v>
          </cell>
          <cell r="L319">
            <v>500</v>
          </cell>
          <cell r="M319" t="str">
            <v>יח'</v>
          </cell>
          <cell r="N319">
            <v>1950</v>
          </cell>
        </row>
        <row r="320">
          <cell r="B320" t="str">
            <v>אינסרט MS 51830-102</v>
          </cell>
          <cell r="C320">
            <v>28159</v>
          </cell>
          <cell r="D320">
            <v>3</v>
          </cell>
          <cell r="E320" t="str">
            <v>קשיח</v>
          </cell>
          <cell r="F320" t="str">
            <v>01.0013</v>
          </cell>
          <cell r="G320">
            <v>44237</v>
          </cell>
          <cell r="H320" t="str">
            <v>01.0013</v>
          </cell>
          <cell r="I320" t="str">
            <v>גין מהנדסים בע"מ</v>
          </cell>
          <cell r="J320">
            <v>3.9</v>
          </cell>
          <cell r="K320" t="str">
            <v>₪</v>
          </cell>
          <cell r="L320">
            <v>600</v>
          </cell>
          <cell r="M320" t="str">
            <v>יח'</v>
          </cell>
          <cell r="N320">
            <v>2340</v>
          </cell>
        </row>
        <row r="321">
          <cell r="B321" t="str">
            <v>אינסרט MS 51830-102</v>
          </cell>
          <cell r="C321">
            <v>24617</v>
          </cell>
          <cell r="D321">
            <v>6</v>
          </cell>
          <cell r="E321" t="str">
            <v>קשיח</v>
          </cell>
          <cell r="F321" t="str">
            <v>01.0013</v>
          </cell>
          <cell r="G321">
            <v>43710</v>
          </cell>
          <cell r="H321" t="str">
            <v>01.0013</v>
          </cell>
          <cell r="I321" t="str">
            <v>גין מהנדסים בע"מ</v>
          </cell>
          <cell r="J321">
            <v>4.2</v>
          </cell>
          <cell r="K321" t="str">
            <v>₪</v>
          </cell>
          <cell r="L321">
            <v>200</v>
          </cell>
          <cell r="M321" t="str">
            <v>יח'</v>
          </cell>
          <cell r="N321">
            <v>840</v>
          </cell>
        </row>
        <row r="322">
          <cell r="B322" t="str">
            <v>אינסרט MS 51830-102 402050078</v>
          </cell>
          <cell r="C322">
            <v>7716</v>
          </cell>
          <cell r="D322">
            <v>4</v>
          </cell>
          <cell r="E322" t="str">
            <v>קשיח</v>
          </cell>
          <cell r="F322" t="str">
            <v>01.0013</v>
          </cell>
          <cell r="G322">
            <v>42046</v>
          </cell>
          <cell r="H322" t="str">
            <v>01.0013</v>
          </cell>
          <cell r="I322" t="str">
            <v>לוונשטיין טכנולוגיות</v>
          </cell>
          <cell r="K322" t="str">
            <v>₪</v>
          </cell>
          <cell r="L322">
            <v>100</v>
          </cell>
          <cell r="M322" t="str">
            <v>יח'</v>
          </cell>
        </row>
        <row r="323">
          <cell r="B323" t="str">
            <v>אינסרט MS 51830-102</v>
          </cell>
          <cell r="C323">
            <v>7047</v>
          </cell>
          <cell r="D323">
            <v>1</v>
          </cell>
          <cell r="E323" t="str">
            <v>פריט</v>
          </cell>
          <cell r="F323" t="str">
            <v>01.0013</v>
          </cell>
          <cell r="G323">
            <v>41970</v>
          </cell>
          <cell r="H323" t="str">
            <v>01.0013</v>
          </cell>
          <cell r="I323" t="str">
            <v>גין מהנדסים בע"מ</v>
          </cell>
          <cell r="J323">
            <v>4.0646000000000004</v>
          </cell>
          <cell r="K323" t="str">
            <v>₪</v>
          </cell>
          <cell r="M323" t="str">
            <v>יח'</v>
          </cell>
        </row>
        <row r="324">
          <cell r="B324" t="str">
            <v>אינסרט MS 51830-102</v>
          </cell>
          <cell r="C324">
            <v>2655</v>
          </cell>
          <cell r="D324">
            <v>4</v>
          </cell>
          <cell r="E324" t="str">
            <v>קשיח</v>
          </cell>
          <cell r="F324" t="str">
            <v>01.0013</v>
          </cell>
          <cell r="G324">
            <v>41406</v>
          </cell>
          <cell r="H324" t="str">
            <v>01.0013</v>
          </cell>
          <cell r="I324" t="str">
            <v>מלאי מקומי בע"מ</v>
          </cell>
          <cell r="K324" t="str">
            <v>₪</v>
          </cell>
          <cell r="L324">
            <v>1000</v>
          </cell>
          <cell r="M324" t="str">
            <v>יח'</v>
          </cell>
        </row>
        <row r="325">
          <cell r="B325" t="str">
            <v>MS51830-102, INSERT, SCREW THREAD 10-32X.170</v>
          </cell>
          <cell r="C325">
            <v>2655</v>
          </cell>
          <cell r="D325">
            <v>8</v>
          </cell>
          <cell r="E325" t="str">
            <v>קשיח</v>
          </cell>
          <cell r="F325" t="str">
            <v>01.0013</v>
          </cell>
          <cell r="G325">
            <v>41406</v>
          </cell>
          <cell r="H325" t="str">
            <v>01.0013</v>
          </cell>
          <cell r="I325" t="str">
            <v>מלאי מקומי בע"מ</v>
          </cell>
          <cell r="K325" t="str">
            <v>₪</v>
          </cell>
          <cell r="L325">
            <v>1000</v>
          </cell>
          <cell r="M325" t="str">
            <v>יח'</v>
          </cell>
        </row>
        <row r="326">
          <cell r="B326" t="str">
            <v>אינסרט MS 51830-102</v>
          </cell>
          <cell r="C326">
            <v>1994</v>
          </cell>
          <cell r="D326">
            <v>1</v>
          </cell>
          <cell r="E326" t="str">
            <v>קשיח</v>
          </cell>
          <cell r="F326" t="str">
            <v>01.0013</v>
          </cell>
          <cell r="G326">
            <v>41319</v>
          </cell>
          <cell r="H326" t="str">
            <v>01.0013</v>
          </cell>
          <cell r="I326" t="str">
            <v>גין מהנדסים בע"מ</v>
          </cell>
          <cell r="J326">
            <v>1.05</v>
          </cell>
          <cell r="K326" t="str">
            <v>$</v>
          </cell>
          <cell r="L326">
            <v>1000</v>
          </cell>
          <cell r="M326" t="str">
            <v>יח'</v>
          </cell>
          <cell r="N326">
            <v>3225.6</v>
          </cell>
        </row>
        <row r="327">
          <cell r="B327" t="str">
            <v>אינסרט MS 51830-102</v>
          </cell>
          <cell r="C327">
            <v>1940</v>
          </cell>
          <cell r="D327">
            <v>1</v>
          </cell>
          <cell r="E327" t="str">
            <v>קשיח</v>
          </cell>
          <cell r="F327" t="str">
            <v>01.0013</v>
          </cell>
          <cell r="G327">
            <v>41317</v>
          </cell>
          <cell r="H327" t="str">
            <v>01.0013</v>
          </cell>
          <cell r="I327" t="str">
            <v>גין מהנדסים בע"מ</v>
          </cell>
          <cell r="J327">
            <v>1.1000000000000001</v>
          </cell>
          <cell r="K327" t="str">
            <v>$</v>
          </cell>
          <cell r="L327">
            <v>1000</v>
          </cell>
          <cell r="M327" t="str">
            <v>יח'</v>
          </cell>
          <cell r="N327">
            <v>3379.2000000000003</v>
          </cell>
        </row>
        <row r="328">
          <cell r="B328" t="str">
            <v>אינסרט MS 51830-102</v>
          </cell>
          <cell r="C328">
            <v>1618</v>
          </cell>
          <cell r="D328">
            <v>1</v>
          </cell>
          <cell r="E328" t="str">
            <v>קשיח</v>
          </cell>
          <cell r="F328" t="str">
            <v>01.0013</v>
          </cell>
          <cell r="G328">
            <v>41274</v>
          </cell>
          <cell r="H328" t="str">
            <v>01.0013</v>
          </cell>
          <cell r="I328" t="str">
            <v>גין מהנדסים בע"מ</v>
          </cell>
          <cell r="J328">
            <v>1.1100000000000001</v>
          </cell>
          <cell r="K328" t="str">
            <v>$</v>
          </cell>
          <cell r="L328">
            <v>600</v>
          </cell>
          <cell r="M328" t="str">
            <v>יח'</v>
          </cell>
          <cell r="N328">
            <v>2045.9520000000005</v>
          </cell>
        </row>
        <row r="329">
          <cell r="B329" t="str">
            <v>אינסרט MS 51830-102</v>
          </cell>
          <cell r="C329">
            <v>1166</v>
          </cell>
          <cell r="D329">
            <v>1</v>
          </cell>
          <cell r="E329" t="str">
            <v>קשיח</v>
          </cell>
          <cell r="F329" t="str">
            <v>01.0013</v>
          </cell>
          <cell r="G329">
            <v>41220</v>
          </cell>
          <cell r="H329" t="str">
            <v>01.0013</v>
          </cell>
          <cell r="I329" t="str">
            <v>גין מהנדסים בע"מ</v>
          </cell>
          <cell r="J329">
            <v>1.1114999999999999</v>
          </cell>
          <cell r="K329" t="str">
            <v>$</v>
          </cell>
          <cell r="L329">
            <v>250</v>
          </cell>
          <cell r="M329" t="str">
            <v>יח'</v>
          </cell>
          <cell r="N329">
            <v>853.63200000000006</v>
          </cell>
        </row>
        <row r="330">
          <cell r="B330" t="str">
            <v>אינסרט MS 51830-102 402050078</v>
          </cell>
          <cell r="C330">
            <v>1141</v>
          </cell>
          <cell r="D330">
            <v>1</v>
          </cell>
          <cell r="E330" t="str">
            <v>קשיח</v>
          </cell>
          <cell r="F330" t="str">
            <v>01.0013</v>
          </cell>
          <cell r="G330">
            <v>41218</v>
          </cell>
          <cell r="H330" t="str">
            <v>01.0013</v>
          </cell>
          <cell r="I330" t="str">
            <v>גין מהנדסים בע"מ</v>
          </cell>
          <cell r="J330">
            <v>1.1114999999999999</v>
          </cell>
          <cell r="K330" t="str">
            <v>$</v>
          </cell>
          <cell r="L330">
            <v>600</v>
          </cell>
          <cell r="M330" t="str">
            <v>יח'</v>
          </cell>
          <cell r="N330">
            <v>2048.7168000000001</v>
          </cell>
        </row>
        <row r="331">
          <cell r="B331" t="str">
            <v>אינסרט MS 51830-102</v>
          </cell>
          <cell r="C331">
            <v>620</v>
          </cell>
          <cell r="D331">
            <v>3</v>
          </cell>
          <cell r="E331" t="str">
            <v>קשיח</v>
          </cell>
          <cell r="F331" t="str">
            <v>01.0013</v>
          </cell>
          <cell r="G331">
            <v>41143</v>
          </cell>
          <cell r="H331" t="str">
            <v>01.0013</v>
          </cell>
          <cell r="I331" t="str">
            <v>גין מהנדסים בע"מ</v>
          </cell>
          <cell r="J331">
            <v>3.92</v>
          </cell>
          <cell r="K331" t="str">
            <v>₪</v>
          </cell>
          <cell r="L331">
            <v>600</v>
          </cell>
          <cell r="M331" t="str">
            <v>יח'</v>
          </cell>
          <cell r="N331">
            <v>2352</v>
          </cell>
        </row>
        <row r="332">
          <cell r="B332" t="str">
            <v>KEENSERT MS51830-202</v>
          </cell>
          <cell r="C332">
            <v>44812</v>
          </cell>
          <cell r="D332">
            <v>1</v>
          </cell>
          <cell r="E332" t="str">
            <v>קשיח</v>
          </cell>
          <cell r="F332" t="str">
            <v>01.0014</v>
          </cell>
          <cell r="G332">
            <v>46064</v>
          </cell>
          <cell r="H332" t="str">
            <v>01.0014</v>
          </cell>
          <cell r="I332" t="str">
            <v>ברמיל בע"מ</v>
          </cell>
          <cell r="J332">
            <v>5.5</v>
          </cell>
          <cell r="K332" t="str">
            <v>₪</v>
          </cell>
          <cell r="L332">
            <v>1000</v>
          </cell>
          <cell r="M332" t="str">
            <v>יח'</v>
          </cell>
          <cell r="N332">
            <v>5500</v>
          </cell>
        </row>
        <row r="333">
          <cell r="B333" t="str">
            <v>KEENSERT MS51830-202</v>
          </cell>
          <cell r="C333">
            <v>44629</v>
          </cell>
          <cell r="D333">
            <v>2</v>
          </cell>
          <cell r="E333" t="str">
            <v>קשיח</v>
          </cell>
          <cell r="F333" t="str">
            <v>01.0014</v>
          </cell>
          <cell r="G333">
            <v>46049</v>
          </cell>
          <cell r="H333" t="str">
            <v>01.0014</v>
          </cell>
          <cell r="I333" t="str">
            <v>גין מהנדסים בע"מ</v>
          </cell>
          <cell r="J333">
            <v>5.5</v>
          </cell>
          <cell r="K333" t="str">
            <v>₪</v>
          </cell>
          <cell r="L333">
            <v>100</v>
          </cell>
          <cell r="M333" t="str">
            <v>יח'</v>
          </cell>
          <cell r="N333">
            <v>550</v>
          </cell>
        </row>
        <row r="334">
          <cell r="B334" t="str">
            <v>KEENSERT MS51830-202</v>
          </cell>
          <cell r="C334">
            <v>43151</v>
          </cell>
          <cell r="D334">
            <v>1</v>
          </cell>
          <cell r="E334" t="str">
            <v>קשיח</v>
          </cell>
          <cell r="F334" t="str">
            <v>01.0014</v>
          </cell>
          <cell r="G334">
            <v>46012</v>
          </cell>
          <cell r="H334" t="str">
            <v>01.0014</v>
          </cell>
          <cell r="I334" t="str">
            <v>גין מהנדסים בע"מ</v>
          </cell>
          <cell r="J334">
            <v>5.5</v>
          </cell>
          <cell r="K334" t="str">
            <v>₪</v>
          </cell>
          <cell r="L334">
            <v>200</v>
          </cell>
          <cell r="M334" t="str">
            <v>יח'</v>
          </cell>
          <cell r="N334">
            <v>1100</v>
          </cell>
        </row>
        <row r="335">
          <cell r="B335" t="str">
            <v>KEENSERT MS51830-202</v>
          </cell>
          <cell r="C335">
            <v>43151</v>
          </cell>
          <cell r="D335">
            <v>2</v>
          </cell>
          <cell r="E335" t="str">
            <v>קשיח</v>
          </cell>
          <cell r="F335" t="str">
            <v>01.0014</v>
          </cell>
          <cell r="G335">
            <v>46012</v>
          </cell>
          <cell r="H335" t="str">
            <v>01.0014</v>
          </cell>
          <cell r="I335" t="str">
            <v>גין מהנדסים בע"מ</v>
          </cell>
          <cell r="J335">
            <v>5.5</v>
          </cell>
          <cell r="K335" t="str">
            <v>₪</v>
          </cell>
          <cell r="L335">
            <v>550</v>
          </cell>
          <cell r="M335" t="str">
            <v>יח'</v>
          </cell>
          <cell r="N335">
            <v>3025</v>
          </cell>
        </row>
        <row r="336">
          <cell r="B336" t="str">
            <v>KEENSERT MS51830-202</v>
          </cell>
          <cell r="C336">
            <v>42690</v>
          </cell>
          <cell r="D336">
            <v>1</v>
          </cell>
          <cell r="E336" t="str">
            <v>קשיח</v>
          </cell>
          <cell r="F336" t="str">
            <v>01.0014</v>
          </cell>
          <cell r="G336">
            <v>45977</v>
          </cell>
          <cell r="H336" t="str">
            <v>01.0014</v>
          </cell>
          <cell r="I336" t="str">
            <v>גין מהנדסים בע"מ</v>
          </cell>
          <cell r="J336">
            <v>5.5</v>
          </cell>
          <cell r="K336" t="str">
            <v>₪</v>
          </cell>
          <cell r="L336">
            <v>250</v>
          </cell>
          <cell r="M336" t="str">
            <v>יח'</v>
          </cell>
          <cell r="N336">
            <v>1375</v>
          </cell>
        </row>
        <row r="337">
          <cell r="B337" t="str">
            <v>MS51830-202, Keensert 402050001</v>
          </cell>
          <cell r="C337">
            <v>42414</v>
          </cell>
          <cell r="D337">
            <v>1</v>
          </cell>
          <cell r="E337" t="str">
            <v>קשיח</v>
          </cell>
          <cell r="F337" t="str">
            <v>01.0014</v>
          </cell>
          <cell r="G337">
            <v>45951</v>
          </cell>
          <cell r="H337" t="str">
            <v>01.0014</v>
          </cell>
          <cell r="I337" t="str">
            <v>דר טכנולוגיות בע"מ</v>
          </cell>
          <cell r="J337">
            <v>5.7</v>
          </cell>
          <cell r="K337" t="str">
            <v>₪</v>
          </cell>
          <cell r="L337">
            <v>500</v>
          </cell>
          <cell r="M337" t="str">
            <v>יח'</v>
          </cell>
          <cell r="N337">
            <v>2850</v>
          </cell>
        </row>
        <row r="338">
          <cell r="B338" t="str">
            <v>KEENSERT MS51830-202</v>
          </cell>
          <cell r="C338">
            <v>41863</v>
          </cell>
          <cell r="D338">
            <v>1</v>
          </cell>
          <cell r="E338" t="str">
            <v>קשיח</v>
          </cell>
          <cell r="F338" t="str">
            <v>01.0014</v>
          </cell>
          <cell r="G338">
            <v>45887</v>
          </cell>
          <cell r="H338" t="str">
            <v>01.0014</v>
          </cell>
          <cell r="I338" t="str">
            <v>גין מהנדסים בע"מ</v>
          </cell>
          <cell r="J338">
            <v>5.5</v>
          </cell>
          <cell r="K338" t="str">
            <v>₪</v>
          </cell>
          <cell r="L338">
            <v>500</v>
          </cell>
          <cell r="M338" t="str">
            <v>יח'</v>
          </cell>
          <cell r="N338">
            <v>2750</v>
          </cell>
        </row>
        <row r="339">
          <cell r="B339" t="str">
            <v>MS51830-202, Keensert 402050001</v>
          </cell>
          <cell r="C339">
            <v>41013</v>
          </cell>
          <cell r="D339">
            <v>1</v>
          </cell>
          <cell r="E339" t="str">
            <v>קשיח</v>
          </cell>
          <cell r="F339" t="str">
            <v>01.0014</v>
          </cell>
          <cell r="G339">
            <v>45805</v>
          </cell>
          <cell r="H339" t="str">
            <v>01.0014</v>
          </cell>
          <cell r="I339" t="str">
            <v>גין מהנדסים בע"מ</v>
          </cell>
          <cell r="J339">
            <v>5.5</v>
          </cell>
          <cell r="K339" t="str">
            <v>₪</v>
          </cell>
          <cell r="L339">
            <v>550</v>
          </cell>
          <cell r="M339" t="str">
            <v>יח'</v>
          </cell>
          <cell r="N339">
            <v>3025</v>
          </cell>
        </row>
        <row r="340">
          <cell r="B340" t="str">
            <v>MS51830-202, Keensert 402050001</v>
          </cell>
          <cell r="C340">
            <v>40525</v>
          </cell>
          <cell r="D340">
            <v>1</v>
          </cell>
          <cell r="E340" t="str">
            <v>קשיח</v>
          </cell>
          <cell r="F340" t="str">
            <v>01.0014</v>
          </cell>
          <cell r="G340">
            <v>45762</v>
          </cell>
          <cell r="H340" t="str">
            <v>01.0014</v>
          </cell>
          <cell r="I340" t="str">
            <v>דר טכנולוגיות בע"מ</v>
          </cell>
          <cell r="J340">
            <v>6</v>
          </cell>
          <cell r="K340" t="str">
            <v>₪</v>
          </cell>
          <cell r="L340">
            <v>100</v>
          </cell>
          <cell r="M340" t="str">
            <v>יח'</v>
          </cell>
          <cell r="N340">
            <v>600</v>
          </cell>
        </row>
        <row r="341">
          <cell r="B341" t="str">
            <v>MS51830-202, Keensert 402050001</v>
          </cell>
          <cell r="C341">
            <v>40291</v>
          </cell>
          <cell r="D341">
            <v>1</v>
          </cell>
          <cell r="E341" t="str">
            <v>קשיח</v>
          </cell>
          <cell r="F341" t="str">
            <v>01.0014</v>
          </cell>
          <cell r="G341">
            <v>45741</v>
          </cell>
          <cell r="H341" t="str">
            <v>01.0014</v>
          </cell>
          <cell r="I341" t="str">
            <v>דר טכנולוגיות בע"מ</v>
          </cell>
          <cell r="J341">
            <v>6</v>
          </cell>
          <cell r="K341" t="str">
            <v>₪</v>
          </cell>
          <cell r="L341">
            <v>400</v>
          </cell>
          <cell r="M341" t="str">
            <v>יח'</v>
          </cell>
          <cell r="N341">
            <v>2400</v>
          </cell>
        </row>
        <row r="342">
          <cell r="B342" t="str">
            <v>KEENSERT MS51830-202</v>
          </cell>
          <cell r="C342">
            <v>40270</v>
          </cell>
          <cell r="D342">
            <v>1</v>
          </cell>
          <cell r="E342" t="str">
            <v>קשיח</v>
          </cell>
          <cell r="F342" t="str">
            <v>01.0014</v>
          </cell>
          <cell r="G342">
            <v>45740</v>
          </cell>
          <cell r="H342" t="str">
            <v>01.0014</v>
          </cell>
          <cell r="I342" t="str">
            <v>דר טכנולוגיות בע"מ</v>
          </cell>
          <cell r="J342">
            <v>6</v>
          </cell>
          <cell r="K342" t="str">
            <v>₪</v>
          </cell>
          <cell r="L342">
            <v>200</v>
          </cell>
          <cell r="M342" t="str">
            <v>יח'</v>
          </cell>
          <cell r="N342">
            <v>1200</v>
          </cell>
        </row>
        <row r="343">
          <cell r="B343" t="str">
            <v>KEENSERT MS51830-202</v>
          </cell>
          <cell r="C343">
            <v>39415</v>
          </cell>
          <cell r="D343">
            <v>6</v>
          </cell>
          <cell r="E343" t="str">
            <v>קשיח</v>
          </cell>
          <cell r="F343" t="str">
            <v>01.0014</v>
          </cell>
          <cell r="G343">
            <v>45683</v>
          </cell>
          <cell r="H343" t="str">
            <v>01.0014</v>
          </cell>
          <cell r="I343" t="str">
            <v>גין מהנדסים בע"מ</v>
          </cell>
          <cell r="J343">
            <v>6</v>
          </cell>
          <cell r="K343" t="str">
            <v>₪</v>
          </cell>
          <cell r="L343">
            <v>400</v>
          </cell>
          <cell r="M343" t="str">
            <v>יח'</v>
          </cell>
          <cell r="N343">
            <v>2400</v>
          </cell>
        </row>
        <row r="344">
          <cell r="B344" t="str">
            <v>KEENSERT MS51830-202</v>
          </cell>
          <cell r="C344">
            <v>39415</v>
          </cell>
          <cell r="D344">
            <v>7</v>
          </cell>
          <cell r="E344" t="str">
            <v>קשיח</v>
          </cell>
          <cell r="F344" t="str">
            <v>01.0014</v>
          </cell>
          <cell r="G344">
            <v>45683</v>
          </cell>
          <cell r="H344" t="str">
            <v>01.0014</v>
          </cell>
          <cell r="I344" t="str">
            <v>גין מהנדסים בע"מ</v>
          </cell>
          <cell r="J344">
            <v>6</v>
          </cell>
          <cell r="K344" t="str">
            <v>₪</v>
          </cell>
          <cell r="L344">
            <v>400</v>
          </cell>
          <cell r="M344" t="str">
            <v>יח'</v>
          </cell>
          <cell r="N344">
            <v>2400</v>
          </cell>
        </row>
        <row r="345">
          <cell r="B345" t="str">
            <v>KEENSERT MS51830-202</v>
          </cell>
          <cell r="C345">
            <v>39415</v>
          </cell>
          <cell r="D345">
            <v>8</v>
          </cell>
          <cell r="E345" t="str">
            <v>קשיח</v>
          </cell>
          <cell r="F345" t="str">
            <v>01.0014</v>
          </cell>
          <cell r="G345">
            <v>45683</v>
          </cell>
          <cell r="H345" t="str">
            <v>01.0014</v>
          </cell>
          <cell r="I345" t="str">
            <v>גין מהנדסים בע"מ</v>
          </cell>
          <cell r="J345">
            <v>6</v>
          </cell>
          <cell r="K345" t="str">
            <v>₪</v>
          </cell>
          <cell r="L345">
            <v>250</v>
          </cell>
          <cell r="M345" t="str">
            <v>יח'</v>
          </cell>
          <cell r="N345">
            <v>1500</v>
          </cell>
        </row>
        <row r="346">
          <cell r="B346" t="str">
            <v>MS51830-202, Keensert 1/4-28 N/L</v>
          </cell>
          <cell r="C346">
            <v>39259</v>
          </cell>
          <cell r="D346">
            <v>2</v>
          </cell>
          <cell r="E346" t="str">
            <v>קשיח</v>
          </cell>
          <cell r="F346" t="str">
            <v>01.0014</v>
          </cell>
          <cell r="G346">
            <v>45650</v>
          </cell>
          <cell r="H346" t="str">
            <v>01.0014</v>
          </cell>
          <cell r="I346" t="str">
            <v>דר טכנולוגיות בע"מ</v>
          </cell>
          <cell r="J346">
            <v>6</v>
          </cell>
          <cell r="K346" t="str">
            <v>₪</v>
          </cell>
          <cell r="L346">
            <v>150</v>
          </cell>
          <cell r="M346" t="str">
            <v>יח'</v>
          </cell>
          <cell r="N346">
            <v>900</v>
          </cell>
        </row>
        <row r="347">
          <cell r="B347" t="str">
            <v>KEENSERT MS51830-202</v>
          </cell>
          <cell r="C347">
            <v>39278</v>
          </cell>
          <cell r="D347">
            <v>1</v>
          </cell>
          <cell r="E347" t="str">
            <v>קשיח</v>
          </cell>
          <cell r="F347" t="str">
            <v>01.0014</v>
          </cell>
          <cell r="G347">
            <v>45650</v>
          </cell>
          <cell r="H347" t="str">
            <v>01.0014</v>
          </cell>
          <cell r="I347" t="str">
            <v>גין מהנדסים בע"מ</v>
          </cell>
          <cell r="J347">
            <v>7.5</v>
          </cell>
          <cell r="K347" t="str">
            <v>₪</v>
          </cell>
          <cell r="L347">
            <v>70</v>
          </cell>
          <cell r="M347" t="str">
            <v>יח'</v>
          </cell>
          <cell r="N347">
            <v>525</v>
          </cell>
        </row>
        <row r="348">
          <cell r="B348" t="str">
            <v>MS51830-202, Keensert 1/4-28 N/L</v>
          </cell>
          <cell r="C348">
            <v>39186</v>
          </cell>
          <cell r="D348">
            <v>80</v>
          </cell>
          <cell r="E348" t="str">
            <v>קשיח</v>
          </cell>
          <cell r="F348" t="str">
            <v>01.0014</v>
          </cell>
          <cell r="G348">
            <v>45644</v>
          </cell>
          <cell r="H348" t="str">
            <v>01.0014</v>
          </cell>
          <cell r="I348" t="str">
            <v>דר טכנולוגיות בע"מ</v>
          </cell>
          <cell r="J348">
            <v>6</v>
          </cell>
          <cell r="K348" t="str">
            <v>₪</v>
          </cell>
          <cell r="L348">
            <v>130</v>
          </cell>
          <cell r="M348" t="str">
            <v>יח'</v>
          </cell>
          <cell r="N348">
            <v>780</v>
          </cell>
        </row>
        <row r="349">
          <cell r="B349" t="str">
            <v>MS51830-202, Keensert 1/4-28 N/L</v>
          </cell>
          <cell r="C349">
            <v>38182</v>
          </cell>
          <cell r="D349">
            <v>1</v>
          </cell>
          <cell r="E349" t="str">
            <v>קשיח</v>
          </cell>
          <cell r="F349" t="str">
            <v>01.0014</v>
          </cell>
          <cell r="G349">
            <v>45533</v>
          </cell>
          <cell r="H349" t="str">
            <v>01.0014</v>
          </cell>
          <cell r="I349" t="str">
            <v>דר טכנולוגיות בע"מ</v>
          </cell>
          <cell r="J349">
            <v>5.68</v>
          </cell>
          <cell r="K349" t="str">
            <v>₪</v>
          </cell>
          <cell r="L349">
            <v>100</v>
          </cell>
          <cell r="M349" t="str">
            <v>יח'</v>
          </cell>
          <cell r="N349">
            <v>568</v>
          </cell>
        </row>
        <row r="350">
          <cell r="B350" t="str">
            <v>MS51830-202, Keensert 1/4-28 N/L</v>
          </cell>
          <cell r="C350">
            <v>38153</v>
          </cell>
          <cell r="D350">
            <v>1</v>
          </cell>
          <cell r="E350" t="str">
            <v>קשיח</v>
          </cell>
          <cell r="F350" t="str">
            <v>01.0014</v>
          </cell>
          <cell r="G350">
            <v>45530</v>
          </cell>
          <cell r="H350" t="str">
            <v>01.0014</v>
          </cell>
          <cell r="I350" t="str">
            <v>דר טכנולוגיות בע"מ</v>
          </cell>
          <cell r="J350">
            <v>5.68</v>
          </cell>
          <cell r="K350" t="str">
            <v>₪</v>
          </cell>
          <cell r="L350">
            <v>700</v>
          </cell>
          <cell r="M350" t="str">
            <v>יח'</v>
          </cell>
          <cell r="N350">
            <v>3976</v>
          </cell>
        </row>
        <row r="351">
          <cell r="B351" t="str">
            <v>MS51830-202, Keensert 1/4-28 N/L</v>
          </cell>
          <cell r="C351">
            <v>38101</v>
          </cell>
          <cell r="D351">
            <v>1</v>
          </cell>
          <cell r="E351" t="str">
            <v>קשיח</v>
          </cell>
          <cell r="F351" t="str">
            <v>01.0014</v>
          </cell>
          <cell r="G351">
            <v>45524</v>
          </cell>
          <cell r="H351" t="str">
            <v>01.0014</v>
          </cell>
          <cell r="I351" t="str">
            <v>דר טכנולוגיות בע"מ</v>
          </cell>
          <cell r="J351">
            <v>5.68</v>
          </cell>
          <cell r="K351" t="str">
            <v>₪</v>
          </cell>
          <cell r="L351">
            <v>1000</v>
          </cell>
          <cell r="M351" t="str">
            <v>יח'</v>
          </cell>
          <cell r="N351">
            <v>5680</v>
          </cell>
        </row>
        <row r="352">
          <cell r="B352" t="str">
            <v>קינסרט MS 51830-202 402050001</v>
          </cell>
          <cell r="C352">
            <v>37727</v>
          </cell>
          <cell r="D352">
            <v>1</v>
          </cell>
          <cell r="E352" t="str">
            <v>קשיח</v>
          </cell>
          <cell r="F352" t="str">
            <v>01.0014</v>
          </cell>
          <cell r="G352">
            <v>45484</v>
          </cell>
          <cell r="H352" t="str">
            <v>01.0014</v>
          </cell>
          <cell r="I352" t="str">
            <v>לוונשטיין טכנולוגיות בע"מ</v>
          </cell>
          <cell r="J352">
            <v>5.2</v>
          </cell>
          <cell r="K352" t="str">
            <v>₪</v>
          </cell>
          <cell r="L352">
            <v>1000</v>
          </cell>
          <cell r="M352" t="str">
            <v>יח'</v>
          </cell>
          <cell r="N352">
            <v>5200</v>
          </cell>
        </row>
        <row r="353">
          <cell r="B353" t="str">
            <v>MS51830-202, Keensert 1/4-28 N/L</v>
          </cell>
          <cell r="C353">
            <v>37615</v>
          </cell>
          <cell r="D353">
            <v>1</v>
          </cell>
          <cell r="E353" t="str">
            <v>קשיח</v>
          </cell>
          <cell r="F353" t="str">
            <v>01.0014</v>
          </cell>
          <cell r="G353">
            <v>45475</v>
          </cell>
          <cell r="H353" t="str">
            <v>01.0014</v>
          </cell>
          <cell r="I353" t="str">
            <v>לוונשטיין טכנולוגיות בע"מ</v>
          </cell>
          <cell r="J353">
            <v>5.2</v>
          </cell>
          <cell r="K353" t="str">
            <v>₪</v>
          </cell>
          <cell r="L353">
            <v>200</v>
          </cell>
          <cell r="M353" t="str">
            <v>יח'</v>
          </cell>
          <cell r="N353">
            <v>1040</v>
          </cell>
        </row>
        <row r="354">
          <cell r="B354" t="str">
            <v>MS51830-202, Keensert 1/4-28 N/L</v>
          </cell>
          <cell r="C354">
            <v>37075</v>
          </cell>
          <cell r="D354">
            <v>1</v>
          </cell>
          <cell r="E354" t="str">
            <v>קשיח</v>
          </cell>
          <cell r="F354" t="str">
            <v>01.0014</v>
          </cell>
          <cell r="G354">
            <v>45414</v>
          </cell>
          <cell r="H354" t="str">
            <v>01.0014</v>
          </cell>
          <cell r="I354" t="str">
            <v>לוונשטיין טכנולוגיות בע"מ</v>
          </cell>
          <cell r="J354">
            <v>5.1985999999999999</v>
          </cell>
          <cell r="K354" t="str">
            <v>₪</v>
          </cell>
          <cell r="L354">
            <v>500</v>
          </cell>
          <cell r="M354" t="str">
            <v>יח'</v>
          </cell>
          <cell r="N354">
            <v>2599.2999999999997</v>
          </cell>
        </row>
        <row r="355">
          <cell r="B355" t="str">
            <v>MS51830-202, Keensert 1/4-28 N/L</v>
          </cell>
          <cell r="C355">
            <v>36342</v>
          </cell>
          <cell r="D355">
            <v>1</v>
          </cell>
          <cell r="E355" t="str">
            <v>קשיח</v>
          </cell>
          <cell r="F355" t="str">
            <v>01.0014</v>
          </cell>
          <cell r="G355">
            <v>45327</v>
          </cell>
          <cell r="H355" t="str">
            <v>01.0014</v>
          </cell>
          <cell r="I355" t="str">
            <v>לוונשטיין טכנולוגיות בע"מ</v>
          </cell>
          <cell r="J355">
            <v>5.2</v>
          </cell>
          <cell r="K355" t="str">
            <v>₪</v>
          </cell>
          <cell r="L355">
            <v>150</v>
          </cell>
          <cell r="M355" t="str">
            <v>יח'</v>
          </cell>
          <cell r="N355">
            <v>780</v>
          </cell>
        </row>
        <row r="356">
          <cell r="B356" t="str">
            <v>קינסרט MS 51830-202 402050001</v>
          </cell>
          <cell r="C356">
            <v>35952</v>
          </cell>
          <cell r="D356">
            <v>1</v>
          </cell>
          <cell r="E356" t="str">
            <v>קשיח</v>
          </cell>
          <cell r="F356" t="str">
            <v>01.0014</v>
          </cell>
          <cell r="G356">
            <v>45287</v>
          </cell>
          <cell r="H356" t="str">
            <v>01.0014</v>
          </cell>
          <cell r="I356" t="str">
            <v>לוונשטיין טכנולוגיות בע"מ</v>
          </cell>
          <cell r="J356">
            <v>5.2</v>
          </cell>
          <cell r="K356" t="str">
            <v>₪</v>
          </cell>
          <cell r="L356">
            <v>500</v>
          </cell>
          <cell r="M356" t="str">
            <v>יח'</v>
          </cell>
          <cell r="N356">
            <v>2600</v>
          </cell>
        </row>
        <row r="357">
          <cell r="B357" t="str">
            <v>KEENSERT MS51830-202</v>
          </cell>
          <cell r="C357">
            <v>35858</v>
          </cell>
          <cell r="D357">
            <v>1</v>
          </cell>
          <cell r="E357" t="str">
            <v>קשיח</v>
          </cell>
          <cell r="F357" t="str">
            <v>01.0014</v>
          </cell>
          <cell r="G357">
            <v>45279</v>
          </cell>
          <cell r="H357" t="str">
            <v>01.0014</v>
          </cell>
          <cell r="I357" t="str">
            <v>לוונשטיין טכנולוגיות בע"מ</v>
          </cell>
          <cell r="J357">
            <v>5.2</v>
          </cell>
          <cell r="K357" t="str">
            <v>₪</v>
          </cell>
          <cell r="L357">
            <v>500</v>
          </cell>
          <cell r="M357" t="str">
            <v>יח'</v>
          </cell>
          <cell r="N357">
            <v>2600</v>
          </cell>
        </row>
        <row r="358">
          <cell r="B358" t="str">
            <v>קינסרט MS 51830-202 402050001</v>
          </cell>
          <cell r="C358">
            <v>35646</v>
          </cell>
          <cell r="D358">
            <v>1</v>
          </cell>
          <cell r="E358" t="str">
            <v>קשיח</v>
          </cell>
          <cell r="F358" t="str">
            <v>01.0014</v>
          </cell>
          <cell r="G358">
            <v>45256</v>
          </cell>
          <cell r="H358" t="str">
            <v>01.0014</v>
          </cell>
          <cell r="I358" t="str">
            <v>לוונשטיין טכנולוגיות בע"מ</v>
          </cell>
          <cell r="J358">
            <v>5.2</v>
          </cell>
          <cell r="K358" t="str">
            <v>₪</v>
          </cell>
          <cell r="L358">
            <v>1100</v>
          </cell>
          <cell r="M358" t="str">
            <v>יח'</v>
          </cell>
          <cell r="N358">
            <v>5720</v>
          </cell>
        </row>
        <row r="359">
          <cell r="B359" t="str">
            <v>MS51830-202, Keensert 1/4-28 N/L</v>
          </cell>
          <cell r="C359">
            <v>28099</v>
          </cell>
          <cell r="D359">
            <v>2</v>
          </cell>
          <cell r="E359" t="str">
            <v>קשיח</v>
          </cell>
          <cell r="F359" t="str">
            <v>01.0014</v>
          </cell>
          <cell r="G359">
            <v>44231</v>
          </cell>
          <cell r="H359" t="str">
            <v>01.0014</v>
          </cell>
          <cell r="I359" t="str">
            <v>גין מהנדסים בע"מ</v>
          </cell>
          <cell r="J359">
            <v>3.5</v>
          </cell>
          <cell r="K359" t="str">
            <v>₪</v>
          </cell>
          <cell r="L359">
            <v>400</v>
          </cell>
          <cell r="M359" t="str">
            <v>יח'</v>
          </cell>
          <cell r="N359">
            <v>1400</v>
          </cell>
        </row>
        <row r="360">
          <cell r="B360" t="str">
            <v>MS51830-202, Keensert 1/4-28 N/L</v>
          </cell>
          <cell r="C360">
            <v>26593</v>
          </cell>
          <cell r="D360">
            <v>1</v>
          </cell>
          <cell r="E360" t="str">
            <v>קשיח</v>
          </cell>
          <cell r="F360" t="str">
            <v>01.0014</v>
          </cell>
          <cell r="G360">
            <v>44020</v>
          </cell>
          <cell r="H360" t="str">
            <v>01.0014</v>
          </cell>
          <cell r="I360" t="str">
            <v>גין מהנדסים בע"מ</v>
          </cell>
          <cell r="J360">
            <v>3.5</v>
          </cell>
          <cell r="K360" t="str">
            <v>₪</v>
          </cell>
          <cell r="L360">
            <v>500</v>
          </cell>
          <cell r="M360" t="str">
            <v>יח'</v>
          </cell>
          <cell r="N360">
            <v>1750</v>
          </cell>
        </row>
        <row r="361">
          <cell r="B361" t="str">
            <v>MS51830-202, Keensert 1/4-28 N/L</v>
          </cell>
          <cell r="C361">
            <v>25907</v>
          </cell>
          <cell r="D361">
            <v>4</v>
          </cell>
          <cell r="E361" t="str">
            <v>קשיח</v>
          </cell>
          <cell r="F361" t="str">
            <v>01.0014</v>
          </cell>
          <cell r="G361">
            <v>43915</v>
          </cell>
          <cell r="H361" t="str">
            <v>01.0014</v>
          </cell>
          <cell r="I361" t="str">
            <v>דר טכנולוגיות בע"מ</v>
          </cell>
          <cell r="J361">
            <v>3.5</v>
          </cell>
          <cell r="K361" t="str">
            <v>₪</v>
          </cell>
          <cell r="L361">
            <v>500</v>
          </cell>
          <cell r="M361" t="str">
            <v>יח'</v>
          </cell>
          <cell r="N361">
            <v>1750</v>
          </cell>
        </row>
        <row r="362">
          <cell r="B362" t="str">
            <v>קינסרט MS 51830-202 402050001</v>
          </cell>
          <cell r="C362">
            <v>24179</v>
          </cell>
          <cell r="D362">
            <v>1</v>
          </cell>
          <cell r="E362" t="str">
            <v>קשיח</v>
          </cell>
          <cell r="F362" t="str">
            <v>01.0014</v>
          </cell>
          <cell r="G362">
            <v>43654</v>
          </cell>
          <cell r="H362" t="str">
            <v>01.0014</v>
          </cell>
          <cell r="I362" t="str">
            <v>גין מהנדסים בע"מ</v>
          </cell>
          <cell r="J362">
            <v>3.5</v>
          </cell>
          <cell r="K362" t="str">
            <v>₪</v>
          </cell>
          <cell r="L362">
            <v>300</v>
          </cell>
          <cell r="M362" t="str">
            <v>יח'</v>
          </cell>
          <cell r="N362">
            <v>1050</v>
          </cell>
        </row>
        <row r="363">
          <cell r="B363" t="str">
            <v>KEENSERT MS51830-202</v>
          </cell>
          <cell r="C363">
            <v>20723</v>
          </cell>
          <cell r="D363">
            <v>1</v>
          </cell>
          <cell r="E363" t="str">
            <v>קשיח</v>
          </cell>
          <cell r="F363" t="str">
            <v>01.0014</v>
          </cell>
          <cell r="G363">
            <v>43222</v>
          </cell>
          <cell r="H363" t="str">
            <v>01.0014</v>
          </cell>
          <cell r="I363" t="str">
            <v>גין מהנדסים בע"מ</v>
          </cell>
          <cell r="J363">
            <v>3.68</v>
          </cell>
          <cell r="K363" t="str">
            <v>₪</v>
          </cell>
          <cell r="M363" t="str">
            <v>יח'</v>
          </cell>
        </row>
        <row r="364">
          <cell r="B364" t="str">
            <v>קינסרט MS 51830-202</v>
          </cell>
          <cell r="C364">
            <v>1405</v>
          </cell>
          <cell r="D364">
            <v>4</v>
          </cell>
          <cell r="E364" t="str">
            <v>קשיח</v>
          </cell>
          <cell r="F364" t="str">
            <v>01.0014</v>
          </cell>
          <cell r="G364">
            <v>41252</v>
          </cell>
          <cell r="H364" t="str">
            <v>01.0014</v>
          </cell>
          <cell r="I364" t="str">
            <v>לוונשטיין טכנולוגיות</v>
          </cell>
          <cell r="J364">
            <v>0.95</v>
          </cell>
          <cell r="K364" t="str">
            <v>$</v>
          </cell>
          <cell r="L364">
            <v>1500</v>
          </cell>
          <cell r="M364" t="str">
            <v>יח'</v>
          </cell>
          <cell r="N364">
            <v>4377.6000000000004</v>
          </cell>
        </row>
        <row r="365">
          <cell r="B365" t="str">
            <v>קינסרט MS 51830-202</v>
          </cell>
          <cell r="C365">
            <v>1333</v>
          </cell>
          <cell r="D365">
            <v>1</v>
          </cell>
          <cell r="E365" t="str">
            <v>קשיח</v>
          </cell>
          <cell r="F365" t="str">
            <v>01.0014</v>
          </cell>
          <cell r="G365">
            <v>41241</v>
          </cell>
          <cell r="H365" t="str">
            <v>01.0014</v>
          </cell>
          <cell r="I365" t="str">
            <v>לוונשטיין טכנולוגיות</v>
          </cell>
          <cell r="J365">
            <v>1.1000000000000001</v>
          </cell>
          <cell r="K365" t="str">
            <v>$</v>
          </cell>
          <cell r="L365">
            <v>700</v>
          </cell>
          <cell r="M365" t="str">
            <v>יח'</v>
          </cell>
          <cell r="N365">
            <v>2365.4400000000005</v>
          </cell>
        </row>
        <row r="366">
          <cell r="B366" t="str">
            <v>MS51832-206, INSERT, KEY-LOCKED, 1/2-20</v>
          </cell>
          <cell r="C366">
            <v>25065</v>
          </cell>
          <cell r="D366">
            <v>3</v>
          </cell>
          <cell r="E366" t="str">
            <v>קשיח</v>
          </cell>
          <cell r="F366" t="str">
            <v>01.0015</v>
          </cell>
          <cell r="G366">
            <v>43783</v>
          </cell>
          <cell r="H366" t="str">
            <v>01.0015</v>
          </cell>
          <cell r="I366" t="str">
            <v>גין מהנדסים בע"מ</v>
          </cell>
          <cell r="J366">
            <v>26</v>
          </cell>
          <cell r="K366" t="str">
            <v>₪</v>
          </cell>
          <cell r="L366">
            <v>100</v>
          </cell>
          <cell r="M366" t="str">
            <v>יח'</v>
          </cell>
          <cell r="N366">
            <v>2600</v>
          </cell>
        </row>
        <row r="367">
          <cell r="B367" t="str">
            <v>Kinsert MS51832-206</v>
          </cell>
          <cell r="C367">
            <v>24875</v>
          </cell>
          <cell r="D367">
            <v>1</v>
          </cell>
          <cell r="E367" t="str">
            <v>קשיח</v>
          </cell>
          <cell r="F367" t="str">
            <v>01.0015</v>
          </cell>
          <cell r="G367">
            <v>43762</v>
          </cell>
          <cell r="H367" t="str">
            <v>01.0015</v>
          </cell>
          <cell r="I367" t="str">
            <v>גין מהנדסים בע"מ</v>
          </cell>
          <cell r="J367">
            <v>26</v>
          </cell>
          <cell r="K367" t="str">
            <v>₪</v>
          </cell>
          <cell r="L367">
            <v>400</v>
          </cell>
          <cell r="M367" t="str">
            <v>יח'</v>
          </cell>
          <cell r="N367">
            <v>10400</v>
          </cell>
        </row>
        <row r="368">
          <cell r="B368" t="str">
            <v>Kinsert MS51832-206</v>
          </cell>
          <cell r="C368">
            <v>24617</v>
          </cell>
          <cell r="D368">
            <v>1</v>
          </cell>
          <cell r="E368" t="str">
            <v>קשיח</v>
          </cell>
          <cell r="F368" t="str">
            <v>01.0015</v>
          </cell>
          <cell r="G368">
            <v>43710</v>
          </cell>
          <cell r="H368" t="str">
            <v>01.0015</v>
          </cell>
          <cell r="I368" t="str">
            <v>גין מהנדסים בע"מ</v>
          </cell>
          <cell r="J368">
            <v>26</v>
          </cell>
          <cell r="K368" t="str">
            <v>₪</v>
          </cell>
          <cell r="L368">
            <v>250</v>
          </cell>
          <cell r="M368" t="str">
            <v>יח'</v>
          </cell>
          <cell r="N368">
            <v>6500</v>
          </cell>
        </row>
        <row r="369">
          <cell r="B369" t="str">
            <v>Kinsert MS51832-206</v>
          </cell>
          <cell r="C369">
            <v>7716</v>
          </cell>
          <cell r="D369">
            <v>2</v>
          </cell>
          <cell r="E369" t="str">
            <v>קשיח</v>
          </cell>
          <cell r="F369" t="str">
            <v>01.0015</v>
          </cell>
          <cell r="G369">
            <v>42046</v>
          </cell>
          <cell r="H369" t="str">
            <v>01.0015</v>
          </cell>
          <cell r="I369" t="str">
            <v>לוונשטיין טכנולוגיות</v>
          </cell>
          <cell r="K369" t="str">
            <v>₪</v>
          </cell>
          <cell r="L369">
            <v>350</v>
          </cell>
          <cell r="M369" t="str">
            <v>יח'</v>
          </cell>
        </row>
        <row r="370">
          <cell r="B370" t="str">
            <v>Kinsert MS51832-206</v>
          </cell>
          <cell r="C370">
            <v>418</v>
          </cell>
          <cell r="D370">
            <v>1</v>
          </cell>
          <cell r="E370" t="str">
            <v>קשיח</v>
          </cell>
          <cell r="F370" t="str">
            <v>01.0015</v>
          </cell>
          <cell r="G370">
            <v>41123</v>
          </cell>
          <cell r="H370" t="str">
            <v>01.0015</v>
          </cell>
          <cell r="I370" t="str">
            <v>גין מהנדסים בע"מ</v>
          </cell>
          <cell r="J370">
            <v>27.44</v>
          </cell>
          <cell r="K370" t="str">
            <v>₪</v>
          </cell>
          <cell r="L370">
            <v>25</v>
          </cell>
          <cell r="M370" t="str">
            <v>יח'</v>
          </cell>
          <cell r="N370">
            <v>686</v>
          </cell>
        </row>
        <row r="371">
          <cell r="B371" t="str">
            <v>MS122078, INSERT, HELICAL, 6-32 X 1D</v>
          </cell>
          <cell r="C371">
            <v>44838</v>
          </cell>
          <cell r="D371">
            <v>2</v>
          </cell>
          <cell r="E371" t="str">
            <v>קשיח</v>
          </cell>
          <cell r="F371" t="str">
            <v>01.0016</v>
          </cell>
          <cell r="G371">
            <v>46065</v>
          </cell>
          <cell r="H371" t="str">
            <v>01.0016</v>
          </cell>
          <cell r="I371" t="str">
            <v>לוונשטיין טכנולוגיות בע"מ</v>
          </cell>
          <cell r="J371">
            <v>0.49890000000000001</v>
          </cell>
          <cell r="K371" t="str">
            <v>₪</v>
          </cell>
          <cell r="L371">
            <v>1000</v>
          </cell>
          <cell r="M371" t="str">
            <v>יח'</v>
          </cell>
          <cell r="N371">
            <v>498.90000000000003</v>
          </cell>
        </row>
        <row r="372">
          <cell r="B372" t="str">
            <v>MS122078, INSERT, HELICAL, 6-32 X 1D</v>
          </cell>
          <cell r="C372">
            <v>44688</v>
          </cell>
          <cell r="D372">
            <v>2</v>
          </cell>
          <cell r="E372" t="str">
            <v>קשיח</v>
          </cell>
          <cell r="F372" t="str">
            <v>01.0016</v>
          </cell>
          <cell r="G372">
            <v>46054</v>
          </cell>
          <cell r="H372" t="str">
            <v>01.0016</v>
          </cell>
          <cell r="I372" t="str">
            <v>לוונשטיין טכנולוגיות בע"מ</v>
          </cell>
          <cell r="J372">
            <v>0.5</v>
          </cell>
          <cell r="K372" t="str">
            <v>₪</v>
          </cell>
          <cell r="L372">
            <v>5000</v>
          </cell>
          <cell r="M372" t="str">
            <v>יח'</v>
          </cell>
          <cell r="N372">
            <v>2500</v>
          </cell>
        </row>
        <row r="373">
          <cell r="B373" t="str">
            <v>MS122078, INSERT, HELICAL, 6-32 X 1D</v>
          </cell>
          <cell r="C373">
            <v>44631</v>
          </cell>
          <cell r="D373">
            <v>1</v>
          </cell>
          <cell r="E373" t="str">
            <v>קשיח</v>
          </cell>
          <cell r="F373" t="str">
            <v>01.0016</v>
          </cell>
          <cell r="G373">
            <v>46049</v>
          </cell>
          <cell r="H373" t="str">
            <v>01.0016</v>
          </cell>
          <cell r="I373" t="str">
            <v>דר טכנולוגיות בע"מ</v>
          </cell>
          <cell r="J373">
            <v>0.45</v>
          </cell>
          <cell r="K373" t="str">
            <v>₪</v>
          </cell>
          <cell r="L373">
            <v>1000</v>
          </cell>
          <cell r="M373" t="str">
            <v>יח'</v>
          </cell>
          <cell r="N373">
            <v>450</v>
          </cell>
        </row>
        <row r="374">
          <cell r="B374" t="str">
            <v>MS122078, INSERT, HELICAL, 6-32 X 1D</v>
          </cell>
          <cell r="C374">
            <v>43299</v>
          </cell>
          <cell r="D374">
            <v>1</v>
          </cell>
          <cell r="E374" t="str">
            <v>קשיח</v>
          </cell>
          <cell r="F374" t="str">
            <v>01.0016</v>
          </cell>
          <cell r="G374">
            <v>46021</v>
          </cell>
          <cell r="H374" t="str">
            <v>01.0016</v>
          </cell>
          <cell r="I374" t="str">
            <v>לוונשטיין טכנולוגיות בע"מ</v>
          </cell>
          <cell r="J374">
            <v>0.47820000000000001</v>
          </cell>
          <cell r="K374" t="str">
            <v>₪</v>
          </cell>
          <cell r="L374">
            <v>5000</v>
          </cell>
          <cell r="M374" t="str">
            <v>יח'</v>
          </cell>
          <cell r="N374">
            <v>2391</v>
          </cell>
        </row>
        <row r="375">
          <cell r="B375" t="str">
            <v>MS122078, INSERT, HELICAL, 6-32 X 1D</v>
          </cell>
          <cell r="C375">
            <v>39823</v>
          </cell>
          <cell r="D375">
            <v>1</v>
          </cell>
          <cell r="E375" t="str">
            <v>קשיח</v>
          </cell>
          <cell r="F375" t="str">
            <v>01.0016</v>
          </cell>
          <cell r="G375">
            <v>45701</v>
          </cell>
          <cell r="H375" t="str">
            <v>01.0016</v>
          </cell>
          <cell r="I375" t="str">
            <v>לוונשטיין טכנולוגיות בע"מ</v>
          </cell>
          <cell r="J375">
            <v>0.47560000000000002</v>
          </cell>
          <cell r="K375" t="str">
            <v>₪</v>
          </cell>
          <cell r="L375">
            <v>2000</v>
          </cell>
          <cell r="M375" t="str">
            <v>יח'</v>
          </cell>
          <cell r="N375">
            <v>951.2</v>
          </cell>
        </row>
        <row r="376">
          <cell r="B376" t="str">
            <v>MS122078, INSERT, HELICAL, 6-32 X 1D</v>
          </cell>
          <cell r="C376">
            <v>39755</v>
          </cell>
          <cell r="D376">
            <v>1</v>
          </cell>
          <cell r="E376" t="str">
            <v>קשיח</v>
          </cell>
          <cell r="F376" t="str">
            <v>01.0016</v>
          </cell>
          <cell r="G376">
            <v>45697</v>
          </cell>
          <cell r="H376" t="str">
            <v>01.0016</v>
          </cell>
          <cell r="I376" t="str">
            <v>לוונשטיין טכנולוגיות בע"מ</v>
          </cell>
          <cell r="K376" t="str">
            <v>₪</v>
          </cell>
          <cell r="L376">
            <v>6000</v>
          </cell>
          <cell r="M376" t="str">
            <v>יח'</v>
          </cell>
        </row>
        <row r="377">
          <cell r="B377" t="str">
            <v>MS122078, INSERT, HELICAL, 6-32 X 1D</v>
          </cell>
          <cell r="C377">
            <v>39755</v>
          </cell>
          <cell r="D377">
            <v>2</v>
          </cell>
          <cell r="E377" t="str">
            <v>קשיח</v>
          </cell>
          <cell r="F377" t="str">
            <v>01.0016</v>
          </cell>
          <cell r="G377">
            <v>45697</v>
          </cell>
          <cell r="H377" t="str">
            <v>01.0016</v>
          </cell>
          <cell r="I377" t="str">
            <v>לוונשטיין טכנולוגיות בע"מ</v>
          </cell>
          <cell r="J377">
            <v>0.47499999999999998</v>
          </cell>
          <cell r="K377" t="str">
            <v>₪</v>
          </cell>
          <cell r="L377">
            <v>5000</v>
          </cell>
          <cell r="M377" t="str">
            <v>יח'</v>
          </cell>
          <cell r="N377">
            <v>2375</v>
          </cell>
        </row>
        <row r="378">
          <cell r="B378" t="str">
            <v>MS122078, INSERT, HELICAL, 6-32 X 1D</v>
          </cell>
          <cell r="C378">
            <v>39755</v>
          </cell>
          <cell r="D378">
            <v>3</v>
          </cell>
          <cell r="E378" t="str">
            <v>קשיח</v>
          </cell>
          <cell r="F378" t="str">
            <v>01.0016</v>
          </cell>
          <cell r="G378">
            <v>45697</v>
          </cell>
          <cell r="H378" t="str">
            <v>01.0016</v>
          </cell>
          <cell r="I378" t="str">
            <v>לוונשטיין טכנולוגיות בע"מ</v>
          </cell>
          <cell r="J378">
            <v>0.47499999999999998</v>
          </cell>
          <cell r="K378" t="str">
            <v>₪</v>
          </cell>
          <cell r="L378">
            <v>6000</v>
          </cell>
          <cell r="M378" t="str">
            <v>יח'</v>
          </cell>
          <cell r="N378">
            <v>2850</v>
          </cell>
        </row>
        <row r="379">
          <cell r="B379" t="str">
            <v>MS122078, INSERT, HELICAL, 6-32 X 1D</v>
          </cell>
          <cell r="C379">
            <v>39755</v>
          </cell>
          <cell r="D379">
            <v>4</v>
          </cell>
          <cell r="E379" t="str">
            <v>קשיח</v>
          </cell>
          <cell r="F379" t="str">
            <v>01.0016</v>
          </cell>
          <cell r="G379">
            <v>45697</v>
          </cell>
          <cell r="H379" t="str">
            <v>01.0016</v>
          </cell>
          <cell r="I379" t="str">
            <v>לוונשטיין טכנולוגיות בע"מ</v>
          </cell>
          <cell r="J379">
            <v>0.47499999999999998</v>
          </cell>
          <cell r="K379" t="str">
            <v>₪</v>
          </cell>
          <cell r="L379">
            <v>5000</v>
          </cell>
          <cell r="M379" t="str">
            <v>יח'</v>
          </cell>
          <cell r="N379">
            <v>2375</v>
          </cell>
        </row>
        <row r="380">
          <cell r="B380" t="str">
            <v>MS122078, INSERT, HELICAL, 6-32 X 1D</v>
          </cell>
          <cell r="C380">
            <v>39755</v>
          </cell>
          <cell r="D380">
            <v>5</v>
          </cell>
          <cell r="E380" t="str">
            <v>קשיח</v>
          </cell>
          <cell r="F380" t="str">
            <v>01.0016</v>
          </cell>
          <cell r="G380">
            <v>45697</v>
          </cell>
          <cell r="H380" t="str">
            <v>01.0016</v>
          </cell>
          <cell r="I380" t="str">
            <v>לוונשטיין טכנולוגיות בע"מ</v>
          </cell>
          <cell r="J380">
            <v>0.47499999999999998</v>
          </cell>
          <cell r="K380" t="str">
            <v>₪</v>
          </cell>
          <cell r="L380">
            <v>6000</v>
          </cell>
          <cell r="M380" t="str">
            <v>יח'</v>
          </cell>
          <cell r="N380">
            <v>2850</v>
          </cell>
        </row>
        <row r="381">
          <cell r="B381" t="str">
            <v>MS122078, INSERT, HELICAL, 6-32 X 1D</v>
          </cell>
          <cell r="C381">
            <v>39755</v>
          </cell>
          <cell r="D381">
            <v>7</v>
          </cell>
          <cell r="E381" t="str">
            <v>קשיח</v>
          </cell>
          <cell r="F381" t="str">
            <v>01.0016</v>
          </cell>
          <cell r="G381">
            <v>45697</v>
          </cell>
          <cell r="H381" t="str">
            <v>01.0016</v>
          </cell>
          <cell r="I381" t="str">
            <v>לוונשטיין טכנולוגיות בע"מ</v>
          </cell>
          <cell r="J381">
            <v>0.47499999999999998</v>
          </cell>
          <cell r="K381" t="str">
            <v>₪</v>
          </cell>
          <cell r="L381">
            <v>6000</v>
          </cell>
          <cell r="M381" t="str">
            <v>יח'</v>
          </cell>
          <cell r="N381">
            <v>2850</v>
          </cell>
        </row>
        <row r="382">
          <cell r="B382" t="str">
            <v>MS122078, INSERT, HELICAL, 6-32 X 1D</v>
          </cell>
          <cell r="C382">
            <v>39755</v>
          </cell>
          <cell r="D382">
            <v>8</v>
          </cell>
          <cell r="E382" t="str">
            <v>קשיח</v>
          </cell>
          <cell r="F382" t="str">
            <v>01.0016</v>
          </cell>
          <cell r="G382">
            <v>45697</v>
          </cell>
          <cell r="H382" t="str">
            <v>01.0016</v>
          </cell>
          <cell r="I382" t="str">
            <v>לוונשטיין טכנולוגיות בע"מ</v>
          </cell>
          <cell r="J382">
            <v>0.47499999999999998</v>
          </cell>
          <cell r="K382" t="str">
            <v>₪</v>
          </cell>
          <cell r="L382">
            <v>5000</v>
          </cell>
          <cell r="M382" t="str">
            <v>יח'</v>
          </cell>
          <cell r="N382">
            <v>2375</v>
          </cell>
        </row>
        <row r="383">
          <cell r="B383" t="str">
            <v>MS122078, INSERT, HELICAL, 6-32 X 1D</v>
          </cell>
          <cell r="C383">
            <v>39755</v>
          </cell>
          <cell r="D383">
            <v>9</v>
          </cell>
          <cell r="E383" t="str">
            <v>קשיח</v>
          </cell>
          <cell r="F383" t="str">
            <v>01.0016</v>
          </cell>
          <cell r="G383">
            <v>45697</v>
          </cell>
          <cell r="H383" t="str">
            <v>01.0016</v>
          </cell>
          <cell r="I383" t="str">
            <v>לוונשטיין טכנולוגיות בע"מ</v>
          </cell>
          <cell r="J383">
            <v>0.47499999999999998</v>
          </cell>
          <cell r="K383" t="str">
            <v>₪</v>
          </cell>
          <cell r="L383">
            <v>6000</v>
          </cell>
          <cell r="M383" t="str">
            <v>יח'</v>
          </cell>
          <cell r="N383">
            <v>2850</v>
          </cell>
        </row>
        <row r="384">
          <cell r="B384" t="str">
            <v>MS122078, INSERT, HELICAL, 6-32 X 1D</v>
          </cell>
          <cell r="C384">
            <v>39755</v>
          </cell>
          <cell r="D384">
            <v>10</v>
          </cell>
          <cell r="E384" t="str">
            <v>קשיח</v>
          </cell>
          <cell r="F384" t="str">
            <v>01.0016</v>
          </cell>
          <cell r="G384">
            <v>45697</v>
          </cell>
          <cell r="H384" t="str">
            <v>01.0016</v>
          </cell>
          <cell r="I384" t="str">
            <v>לוונשטיין טכנולוגיות בע"מ</v>
          </cell>
          <cell r="J384">
            <v>0.47499999999999998</v>
          </cell>
          <cell r="K384" t="str">
            <v>₪</v>
          </cell>
          <cell r="L384">
            <v>5000</v>
          </cell>
          <cell r="M384" t="str">
            <v>יח'</v>
          </cell>
          <cell r="N384">
            <v>2375</v>
          </cell>
        </row>
        <row r="385">
          <cell r="B385" t="str">
            <v>MS122078, INSERT, HELICAL, 6-32 X 1D</v>
          </cell>
          <cell r="C385">
            <v>39755</v>
          </cell>
          <cell r="D385">
            <v>11</v>
          </cell>
          <cell r="E385" t="str">
            <v>קשיח</v>
          </cell>
          <cell r="F385" t="str">
            <v>01.0016</v>
          </cell>
          <cell r="G385">
            <v>45697</v>
          </cell>
          <cell r="H385" t="str">
            <v>01.0016</v>
          </cell>
          <cell r="I385" t="str">
            <v>לוונשטיין טכנולוגיות בע"מ</v>
          </cell>
          <cell r="J385">
            <v>0.47499999999999998</v>
          </cell>
          <cell r="K385" t="str">
            <v>₪</v>
          </cell>
          <cell r="L385">
            <v>6000</v>
          </cell>
          <cell r="M385" t="str">
            <v>יח'</v>
          </cell>
          <cell r="N385">
            <v>2850</v>
          </cell>
        </row>
        <row r="386">
          <cell r="B386" t="str">
            <v>MS122078, INSERT, HELICAL, 6-32 X 1D</v>
          </cell>
          <cell r="C386">
            <v>39755</v>
          </cell>
          <cell r="D386">
            <v>12</v>
          </cell>
          <cell r="E386" t="str">
            <v>קשיח</v>
          </cell>
          <cell r="F386" t="str">
            <v>01.0016</v>
          </cell>
          <cell r="G386">
            <v>45697</v>
          </cell>
          <cell r="H386" t="str">
            <v>01.0016</v>
          </cell>
          <cell r="I386" t="str">
            <v>לוונשטיין טכנולוגיות בע"מ</v>
          </cell>
          <cell r="J386">
            <v>0.47499999999999998</v>
          </cell>
          <cell r="K386" t="str">
            <v>₪</v>
          </cell>
          <cell r="L386">
            <v>5000</v>
          </cell>
          <cell r="M386" t="str">
            <v>יח'</v>
          </cell>
          <cell r="N386">
            <v>2375</v>
          </cell>
        </row>
        <row r="387">
          <cell r="B387" t="str">
            <v>MS122078, INSERT, HELICAL, 6-32 X 1D</v>
          </cell>
          <cell r="C387">
            <v>39428</v>
          </cell>
          <cell r="D387">
            <v>1</v>
          </cell>
          <cell r="E387" t="str">
            <v>קשיח</v>
          </cell>
          <cell r="F387" t="str">
            <v>01.0016</v>
          </cell>
          <cell r="G387">
            <v>45665</v>
          </cell>
          <cell r="H387" t="str">
            <v>01.0016</v>
          </cell>
          <cell r="I387" t="str">
            <v>דר טכנולוגיות בע"מ</v>
          </cell>
          <cell r="J387">
            <v>0.49</v>
          </cell>
          <cell r="K387" t="str">
            <v>₪</v>
          </cell>
          <cell r="L387">
            <v>3000</v>
          </cell>
          <cell r="M387" t="str">
            <v>יח'</v>
          </cell>
          <cell r="N387">
            <v>1470</v>
          </cell>
        </row>
        <row r="388">
          <cell r="B388" t="str">
            <v>MS122078, INSERT, HELICAL, 6-32 X 1D</v>
          </cell>
          <cell r="C388">
            <v>39363</v>
          </cell>
          <cell r="D388">
            <v>1</v>
          </cell>
          <cell r="E388" t="str">
            <v>קשיח</v>
          </cell>
          <cell r="F388" t="str">
            <v>01.0016</v>
          </cell>
          <cell r="G388">
            <v>45662</v>
          </cell>
          <cell r="H388" t="str">
            <v>01.0016</v>
          </cell>
          <cell r="I388" t="str">
            <v>לוונשטיין טכנולוגיות בע"מ</v>
          </cell>
          <cell r="J388">
            <v>0.49580000000000002</v>
          </cell>
          <cell r="K388" t="str">
            <v>₪</v>
          </cell>
          <cell r="L388">
            <v>2000</v>
          </cell>
          <cell r="M388" t="str">
            <v>יח'</v>
          </cell>
          <cell r="N388">
            <v>991.6</v>
          </cell>
        </row>
        <row r="389">
          <cell r="B389" t="str">
            <v>MS122078, INSERT, HELICAL, 6-32 X 1D</v>
          </cell>
          <cell r="C389">
            <v>39065</v>
          </cell>
          <cell r="D389">
            <v>1</v>
          </cell>
          <cell r="E389" t="str">
            <v>קשיח</v>
          </cell>
          <cell r="F389" t="str">
            <v>01.0016</v>
          </cell>
          <cell r="G389">
            <v>45631</v>
          </cell>
          <cell r="H389" t="str">
            <v>01.0016</v>
          </cell>
          <cell r="I389" t="str">
            <v>דר טכנולוגיות בע"מ</v>
          </cell>
          <cell r="J389">
            <v>0.49469999999999997</v>
          </cell>
          <cell r="K389" t="str">
            <v>₪</v>
          </cell>
          <cell r="L389">
            <v>3000</v>
          </cell>
          <cell r="M389" t="str">
            <v>יח'</v>
          </cell>
          <cell r="N389">
            <v>1484.1</v>
          </cell>
        </row>
        <row r="390">
          <cell r="B390" t="str">
            <v>MS122078, INSERT, HELICAL, 6-32 X 1D</v>
          </cell>
          <cell r="C390">
            <v>38738</v>
          </cell>
          <cell r="D390">
            <v>1</v>
          </cell>
          <cell r="E390" t="str">
            <v>קשיח</v>
          </cell>
          <cell r="F390" t="str">
            <v>01.0016</v>
          </cell>
          <cell r="G390">
            <v>45603</v>
          </cell>
          <cell r="H390" t="str">
            <v>01.0016</v>
          </cell>
          <cell r="I390" t="str">
            <v>לוונשטיין טכנולוגיות בע"מ</v>
          </cell>
          <cell r="J390">
            <v>0.49880000000000002</v>
          </cell>
          <cell r="K390" t="str">
            <v>₪</v>
          </cell>
          <cell r="L390">
            <v>2000</v>
          </cell>
          <cell r="M390" t="str">
            <v>יח'</v>
          </cell>
          <cell r="N390">
            <v>997.6</v>
          </cell>
        </row>
        <row r="391">
          <cell r="B391" t="str">
            <v>MS122078, INSERT, HELICAL, 6-32 X 1D</v>
          </cell>
          <cell r="C391">
            <v>38504</v>
          </cell>
          <cell r="D391">
            <v>2</v>
          </cell>
          <cell r="E391" t="str">
            <v>קשיח</v>
          </cell>
          <cell r="F391" t="str">
            <v>01.0016</v>
          </cell>
          <cell r="G391">
            <v>45572</v>
          </cell>
          <cell r="H391" t="str">
            <v>01.0016</v>
          </cell>
          <cell r="I391" t="str">
            <v>לוונשטיין טכנולוגיות בע"מ</v>
          </cell>
          <cell r="J391">
            <v>0.5</v>
          </cell>
          <cell r="K391" t="str">
            <v>₪</v>
          </cell>
          <cell r="L391">
            <v>4000</v>
          </cell>
          <cell r="M391" t="str">
            <v>יח'</v>
          </cell>
          <cell r="N391">
            <v>2000</v>
          </cell>
        </row>
        <row r="392">
          <cell r="B392" t="str">
            <v>MS122078, INSERT, HELICAL, 6-32 X 1D</v>
          </cell>
          <cell r="C392">
            <v>38247</v>
          </cell>
          <cell r="D392">
            <v>1</v>
          </cell>
          <cell r="E392" t="str">
            <v>קשיח</v>
          </cell>
          <cell r="F392" t="str">
            <v>01.0016</v>
          </cell>
          <cell r="G392">
            <v>45540</v>
          </cell>
          <cell r="H392" t="str">
            <v>01.0016</v>
          </cell>
          <cell r="I392" t="str">
            <v>לוונשטיין טכנולוגיות בע"מ</v>
          </cell>
          <cell r="J392">
            <v>0.5</v>
          </cell>
          <cell r="K392" t="str">
            <v>₪</v>
          </cell>
          <cell r="L392">
            <v>3000</v>
          </cell>
          <cell r="M392" t="str">
            <v>יח'</v>
          </cell>
          <cell r="N392">
            <v>1500</v>
          </cell>
        </row>
        <row r="393">
          <cell r="B393" t="str">
            <v>MS122078, INSERT, HELICAL, 6-32 X 1D</v>
          </cell>
          <cell r="C393">
            <v>38156</v>
          </cell>
          <cell r="D393">
            <v>1</v>
          </cell>
          <cell r="E393" t="str">
            <v>קשיח</v>
          </cell>
          <cell r="F393" t="str">
            <v>01.0016</v>
          </cell>
          <cell r="G393">
            <v>45531</v>
          </cell>
          <cell r="H393" t="str">
            <v>01.0016</v>
          </cell>
          <cell r="I393" t="str">
            <v>לוונשטיין טכנולוגיות בע"מ</v>
          </cell>
          <cell r="J393">
            <v>0.49859999999999999</v>
          </cell>
          <cell r="K393" t="str">
            <v>₪</v>
          </cell>
          <cell r="L393">
            <v>3000</v>
          </cell>
          <cell r="M393" t="str">
            <v>יח'</v>
          </cell>
          <cell r="N393">
            <v>1495.8</v>
          </cell>
        </row>
        <row r="394">
          <cell r="B394" t="str">
            <v>MS122078, INSERT, HELICAL, 6-32 X 1D</v>
          </cell>
          <cell r="C394">
            <v>38027</v>
          </cell>
          <cell r="D394">
            <v>1</v>
          </cell>
          <cell r="E394" t="str">
            <v>קשיח</v>
          </cell>
          <cell r="F394" t="str">
            <v>01.0016</v>
          </cell>
          <cell r="G394">
            <v>45517</v>
          </cell>
          <cell r="H394" t="str">
            <v>01.0016</v>
          </cell>
          <cell r="I394" t="str">
            <v>לוונשטיין טכנולוגיות בע"מ</v>
          </cell>
          <cell r="J394">
            <v>0.50370000000000004</v>
          </cell>
          <cell r="K394" t="str">
            <v>₪</v>
          </cell>
          <cell r="L394">
            <v>8000</v>
          </cell>
          <cell r="M394" t="str">
            <v>יח'</v>
          </cell>
          <cell r="N394">
            <v>4029.6000000000004</v>
          </cell>
        </row>
        <row r="395">
          <cell r="B395" t="str">
            <v>MS122078, INSERT, HELICAL, 6-32 X 1D</v>
          </cell>
          <cell r="C395">
            <v>37938</v>
          </cell>
          <cell r="D395">
            <v>2</v>
          </cell>
          <cell r="E395" t="str">
            <v>קשיח</v>
          </cell>
          <cell r="F395" t="str">
            <v>01.0016</v>
          </cell>
          <cell r="G395">
            <v>45508</v>
          </cell>
          <cell r="H395" t="str">
            <v>01.0016</v>
          </cell>
          <cell r="I395" t="str">
            <v>לוונשטיין טכנולוגיות בע"מ</v>
          </cell>
          <cell r="J395">
            <v>0.5</v>
          </cell>
          <cell r="K395" t="str">
            <v>₪</v>
          </cell>
          <cell r="L395">
            <v>4000</v>
          </cell>
          <cell r="M395" t="str">
            <v>יח'</v>
          </cell>
          <cell r="N395">
            <v>2000</v>
          </cell>
        </row>
        <row r="396">
          <cell r="B396" t="str">
            <v>MS122078, INSERT, HELICAL, 6-32 X 1D</v>
          </cell>
          <cell r="C396">
            <v>37483</v>
          </cell>
          <cell r="D396">
            <v>1</v>
          </cell>
          <cell r="E396" t="str">
            <v>קשיח</v>
          </cell>
          <cell r="F396" t="str">
            <v>01.0016</v>
          </cell>
          <cell r="G396">
            <v>45459</v>
          </cell>
          <cell r="H396" t="str">
            <v>01.0016</v>
          </cell>
          <cell r="I396" t="str">
            <v>לוונשטיין טכנולוגיות בע"מ</v>
          </cell>
          <cell r="J396">
            <v>0.5</v>
          </cell>
          <cell r="K396" t="str">
            <v>₪</v>
          </cell>
          <cell r="L396">
            <v>3000</v>
          </cell>
          <cell r="M396" t="str">
            <v>יח'</v>
          </cell>
          <cell r="N396">
            <v>1500</v>
          </cell>
        </row>
        <row r="397">
          <cell r="B397" t="str">
            <v>MS122078, INSERT, HELICAL, 6-32 X 1D</v>
          </cell>
          <cell r="C397">
            <v>37197</v>
          </cell>
          <cell r="D397">
            <v>1</v>
          </cell>
          <cell r="E397" t="str">
            <v>קשיח</v>
          </cell>
          <cell r="F397" t="str">
            <v>01.0016</v>
          </cell>
          <cell r="G397">
            <v>45428</v>
          </cell>
          <cell r="H397" t="str">
            <v>01.0016</v>
          </cell>
          <cell r="I397" t="str">
            <v>לוונשטיין טכנולוגיות בע"מ</v>
          </cell>
          <cell r="J397">
            <v>0.5</v>
          </cell>
          <cell r="K397" t="str">
            <v>₪</v>
          </cell>
          <cell r="L397">
            <v>2000</v>
          </cell>
          <cell r="M397" t="str">
            <v>יח'</v>
          </cell>
          <cell r="N397">
            <v>1000</v>
          </cell>
        </row>
        <row r="398">
          <cell r="B398" t="str">
            <v>MS122078, INSERT, HELICAL, 6-32 X 1D</v>
          </cell>
          <cell r="C398">
            <v>37204</v>
          </cell>
          <cell r="D398">
            <v>1</v>
          </cell>
          <cell r="E398" t="str">
            <v>קשיח</v>
          </cell>
          <cell r="F398" t="str">
            <v>01.0016</v>
          </cell>
          <cell r="G398">
            <v>45428</v>
          </cell>
          <cell r="H398" t="str">
            <v>01.0016</v>
          </cell>
          <cell r="I398" t="str">
            <v>דר טכנולוגיות בע"מ</v>
          </cell>
          <cell r="J398">
            <v>0.5</v>
          </cell>
          <cell r="K398" t="str">
            <v>₪</v>
          </cell>
          <cell r="L398">
            <v>2000</v>
          </cell>
          <cell r="M398" t="str">
            <v>יח'</v>
          </cell>
          <cell r="N398">
            <v>1000</v>
          </cell>
        </row>
        <row r="399">
          <cell r="B399" t="str">
            <v>MS122078, INSERT, HELICAL, 6-32 X 1D</v>
          </cell>
          <cell r="C399">
            <v>37138</v>
          </cell>
          <cell r="D399">
            <v>1</v>
          </cell>
          <cell r="E399" t="str">
            <v>קשיח</v>
          </cell>
          <cell r="F399" t="str">
            <v>01.0016</v>
          </cell>
          <cell r="G399">
            <v>45420</v>
          </cell>
          <cell r="H399" t="str">
            <v>01.0016</v>
          </cell>
          <cell r="I399" t="str">
            <v>לוונשטיין טכנולוגיות בע"מ</v>
          </cell>
          <cell r="J399">
            <v>0.49759999999999999</v>
          </cell>
          <cell r="K399" t="str">
            <v>₪</v>
          </cell>
          <cell r="L399">
            <v>2000</v>
          </cell>
          <cell r="M399" t="str">
            <v>יח'</v>
          </cell>
          <cell r="N399">
            <v>995.19999999999993</v>
          </cell>
        </row>
        <row r="400">
          <cell r="B400" t="str">
            <v>MS122078, INSERT, HELICAL, 6-32 X 1D</v>
          </cell>
          <cell r="C400">
            <v>37076</v>
          </cell>
          <cell r="D400">
            <v>1</v>
          </cell>
          <cell r="E400" t="str">
            <v>קשיח</v>
          </cell>
          <cell r="F400" t="str">
            <v>01.0016</v>
          </cell>
          <cell r="G400">
            <v>45414</v>
          </cell>
          <cell r="H400" t="str">
            <v>01.0016</v>
          </cell>
          <cell r="I400" t="str">
            <v>לוונשטיין טכנולוגיות בע"מ</v>
          </cell>
          <cell r="J400">
            <v>0.5</v>
          </cell>
          <cell r="K400" t="str">
            <v>₪</v>
          </cell>
          <cell r="L400">
            <v>2000</v>
          </cell>
          <cell r="M400" t="str">
            <v>יח'</v>
          </cell>
          <cell r="N400">
            <v>1000</v>
          </cell>
        </row>
        <row r="401">
          <cell r="B401" t="str">
            <v>MS122078, INSERT, HELICAL, 6-32 X 1D</v>
          </cell>
          <cell r="C401">
            <v>37005</v>
          </cell>
          <cell r="D401">
            <v>1</v>
          </cell>
          <cell r="E401" t="str">
            <v>קשיח</v>
          </cell>
          <cell r="F401" t="str">
            <v>01.0016</v>
          </cell>
          <cell r="G401">
            <v>45406</v>
          </cell>
          <cell r="H401" t="str">
            <v>01.0016</v>
          </cell>
          <cell r="I401" t="str">
            <v>דר טכנולוגיות בע"מ</v>
          </cell>
          <cell r="J401">
            <v>0.5</v>
          </cell>
          <cell r="K401" t="str">
            <v>₪</v>
          </cell>
          <cell r="L401">
            <v>3000</v>
          </cell>
          <cell r="M401" t="str">
            <v>יח'</v>
          </cell>
          <cell r="N401">
            <v>1500</v>
          </cell>
        </row>
        <row r="402">
          <cell r="B402" t="str">
            <v>MS122078, INSERT, HELICAL, 6-32 X 1D</v>
          </cell>
          <cell r="C402">
            <v>36874</v>
          </cell>
          <cell r="D402">
            <v>1</v>
          </cell>
          <cell r="E402" t="str">
            <v>קשיח</v>
          </cell>
          <cell r="F402" t="str">
            <v>01.0016</v>
          </cell>
          <cell r="G402">
            <v>45390</v>
          </cell>
          <cell r="H402" t="str">
            <v>01.0016</v>
          </cell>
          <cell r="I402" t="str">
            <v>לוונשטיין טכנולוגיות בע"מ</v>
          </cell>
          <cell r="J402">
            <v>0.49959999999999999</v>
          </cell>
          <cell r="K402" t="str">
            <v>₪</v>
          </cell>
          <cell r="L402">
            <v>2000</v>
          </cell>
          <cell r="M402" t="str">
            <v>יח'</v>
          </cell>
          <cell r="N402">
            <v>999.19999999999993</v>
          </cell>
        </row>
        <row r="403">
          <cell r="B403" t="str">
            <v>MS122078, INSERT, HELICAL, 6-32 X 1D</v>
          </cell>
          <cell r="C403">
            <v>36021</v>
          </cell>
          <cell r="D403">
            <v>1</v>
          </cell>
          <cell r="E403" t="str">
            <v>קשיח</v>
          </cell>
          <cell r="F403" t="str">
            <v>01.0016</v>
          </cell>
          <cell r="G403">
            <v>45294</v>
          </cell>
          <cell r="H403" t="str">
            <v>01.0016</v>
          </cell>
          <cell r="I403" t="str">
            <v>דר טכנולוגיות בע"מ</v>
          </cell>
          <cell r="J403">
            <v>0.5</v>
          </cell>
          <cell r="K403" t="str">
            <v>₪</v>
          </cell>
          <cell r="L403">
            <v>4000</v>
          </cell>
          <cell r="M403" t="str">
            <v>יח'</v>
          </cell>
          <cell r="N403">
            <v>2000</v>
          </cell>
        </row>
        <row r="404">
          <cell r="B404" t="str">
            <v>MS122078, INSERT, HELICAL, 6-32 X 1D</v>
          </cell>
          <cell r="C404">
            <v>35744</v>
          </cell>
          <cell r="D404">
            <v>1</v>
          </cell>
          <cell r="E404" t="str">
            <v>קשיח</v>
          </cell>
          <cell r="F404" t="str">
            <v>01.0016</v>
          </cell>
          <cell r="G404">
            <v>45270</v>
          </cell>
          <cell r="H404" t="str">
            <v>01.0016</v>
          </cell>
          <cell r="I404" t="str">
            <v>לוונשטיין טכנולוגיות בע"מ</v>
          </cell>
          <cell r="J404">
            <v>0.5</v>
          </cell>
          <cell r="K404" t="str">
            <v>₪</v>
          </cell>
          <cell r="L404">
            <v>15000</v>
          </cell>
          <cell r="M404" t="str">
            <v>יח'</v>
          </cell>
          <cell r="N404">
            <v>7500</v>
          </cell>
        </row>
        <row r="405">
          <cell r="B405" t="str">
            <v>MS122078, INSERT, HELICAL, 6-32 X 1D</v>
          </cell>
          <cell r="C405">
            <v>35718</v>
          </cell>
          <cell r="D405">
            <v>1</v>
          </cell>
          <cell r="E405" t="str">
            <v>קשיח</v>
          </cell>
          <cell r="F405" t="str">
            <v>01.0016</v>
          </cell>
          <cell r="G405">
            <v>45266</v>
          </cell>
          <cell r="H405" t="str">
            <v>01.0016</v>
          </cell>
          <cell r="I405" t="str">
            <v>לוונשטיין טכנולוגיות בע"מ</v>
          </cell>
          <cell r="J405">
            <v>0.55320000000000003</v>
          </cell>
          <cell r="K405" t="str">
            <v>₪</v>
          </cell>
          <cell r="L405">
            <v>5000</v>
          </cell>
          <cell r="M405" t="str">
            <v>יח'</v>
          </cell>
          <cell r="N405">
            <v>2766</v>
          </cell>
        </row>
        <row r="406">
          <cell r="B406" t="str">
            <v>MS122078, INSERT, HELICAL, 6-32 X 1D</v>
          </cell>
          <cell r="C406">
            <v>35427</v>
          </cell>
          <cell r="D406">
            <v>2</v>
          </cell>
          <cell r="E406" t="str">
            <v>קשיח</v>
          </cell>
          <cell r="F406" t="str">
            <v>01.0016</v>
          </cell>
          <cell r="G406">
            <v>45229</v>
          </cell>
          <cell r="H406" t="str">
            <v>01.0016</v>
          </cell>
          <cell r="I406" t="str">
            <v>לוונשטיין טכנולוגיות בע"מ</v>
          </cell>
          <cell r="J406">
            <v>0.55010000000000003</v>
          </cell>
          <cell r="K406" t="str">
            <v>₪</v>
          </cell>
          <cell r="L406">
            <v>2000</v>
          </cell>
          <cell r="M406" t="str">
            <v>יח'</v>
          </cell>
          <cell r="N406">
            <v>1100.2</v>
          </cell>
        </row>
        <row r="407">
          <cell r="B407" t="str">
            <v>MS122078, INSERT, HELICAL, 6-32 X 1D</v>
          </cell>
          <cell r="C407">
            <v>35407</v>
          </cell>
          <cell r="D407">
            <v>3</v>
          </cell>
          <cell r="E407" t="str">
            <v>קשיח</v>
          </cell>
          <cell r="F407" t="str">
            <v>01.0016</v>
          </cell>
          <cell r="G407">
            <v>45225</v>
          </cell>
          <cell r="H407" t="str">
            <v>01.0016</v>
          </cell>
          <cell r="I407" t="str">
            <v>לוונשטיין טכנולוגיות בע"מ</v>
          </cell>
          <cell r="J407">
            <v>0.55000000000000004</v>
          </cell>
          <cell r="K407" t="str">
            <v>₪</v>
          </cell>
          <cell r="L407">
            <v>4000</v>
          </cell>
          <cell r="M407" t="str">
            <v>יח'</v>
          </cell>
          <cell r="N407">
            <v>2200</v>
          </cell>
        </row>
        <row r="408">
          <cell r="B408" t="str">
            <v>MS122078, INSERT, HELICAL, 6-32 X 1D</v>
          </cell>
          <cell r="C408">
            <v>35042</v>
          </cell>
          <cell r="D408">
            <v>1</v>
          </cell>
          <cell r="E408" t="str">
            <v>קשיח</v>
          </cell>
          <cell r="F408" t="str">
            <v>01.0016</v>
          </cell>
          <cell r="G408">
            <v>45175</v>
          </cell>
          <cell r="H408" t="str">
            <v>01.0016</v>
          </cell>
          <cell r="I408" t="str">
            <v>לוונשטיין טכנולוגיות בע"מ</v>
          </cell>
          <cell r="J408">
            <v>0.54949999999999999</v>
          </cell>
          <cell r="K408" t="str">
            <v>₪</v>
          </cell>
          <cell r="L408">
            <v>3000</v>
          </cell>
          <cell r="M408" t="str">
            <v>יח'</v>
          </cell>
          <cell r="N408">
            <v>1648.5</v>
          </cell>
        </row>
        <row r="409">
          <cell r="B409" t="str">
            <v>MS122078, INSERT, HELICAL, 6-32 X 1D</v>
          </cell>
          <cell r="C409">
            <v>34963</v>
          </cell>
          <cell r="D409">
            <v>1</v>
          </cell>
          <cell r="E409" t="str">
            <v>קשיח</v>
          </cell>
          <cell r="F409" t="str">
            <v>01.0016</v>
          </cell>
          <cell r="G409">
            <v>45168</v>
          </cell>
          <cell r="H409" t="str">
            <v>01.0016</v>
          </cell>
          <cell r="I409" t="str">
            <v>לוונשטיין טכנולוגיות בע"מ</v>
          </cell>
          <cell r="J409">
            <v>0.55179999999999996</v>
          </cell>
          <cell r="K409" t="str">
            <v>₪</v>
          </cell>
          <cell r="L409">
            <v>3000</v>
          </cell>
          <cell r="M409" t="str">
            <v>יח'</v>
          </cell>
          <cell r="N409">
            <v>1655.3999999999999</v>
          </cell>
        </row>
        <row r="410">
          <cell r="B410" t="str">
            <v>MS122078, INSERT, HELICAL, 6-32 X 1D</v>
          </cell>
          <cell r="C410">
            <v>34586</v>
          </cell>
          <cell r="D410">
            <v>3</v>
          </cell>
          <cell r="E410" t="str">
            <v>קשיח</v>
          </cell>
          <cell r="F410" t="str">
            <v>01.0016</v>
          </cell>
          <cell r="G410">
            <v>45131</v>
          </cell>
          <cell r="H410" t="str">
            <v>01.0016</v>
          </cell>
          <cell r="I410" t="str">
            <v>לוונשטיין טכנולוגיות בע"מ</v>
          </cell>
          <cell r="J410">
            <v>0.55010000000000003</v>
          </cell>
          <cell r="K410" t="str">
            <v>₪</v>
          </cell>
          <cell r="L410">
            <v>3000</v>
          </cell>
          <cell r="M410" t="str">
            <v>יח'</v>
          </cell>
          <cell r="N410">
            <v>1650.3000000000002</v>
          </cell>
        </row>
        <row r="411">
          <cell r="B411" t="str">
            <v>MS122078, INSERT, HELICAL, 6-32 X 1D</v>
          </cell>
          <cell r="C411">
            <v>34304</v>
          </cell>
          <cell r="D411">
            <v>3</v>
          </cell>
          <cell r="E411" t="str">
            <v>קשיח</v>
          </cell>
          <cell r="F411" t="str">
            <v>01.0016</v>
          </cell>
          <cell r="G411">
            <v>45102</v>
          </cell>
          <cell r="H411" t="str">
            <v>01.0016</v>
          </cell>
          <cell r="I411" t="str">
            <v>לוונשטיין טכנולוגיות בע"מ</v>
          </cell>
          <cell r="J411">
            <v>0.55000000000000004</v>
          </cell>
          <cell r="K411" t="str">
            <v>₪</v>
          </cell>
          <cell r="L411">
            <v>1000</v>
          </cell>
          <cell r="M411" t="str">
            <v>יח'</v>
          </cell>
          <cell r="N411">
            <v>550</v>
          </cell>
        </row>
        <row r="412">
          <cell r="B412" t="str">
            <v>MS122078, INSERT, HELICAL, 6-32 X 1D</v>
          </cell>
          <cell r="C412">
            <v>33906</v>
          </cell>
          <cell r="D412">
            <v>3</v>
          </cell>
          <cell r="E412" t="str">
            <v>קשיח</v>
          </cell>
          <cell r="F412" t="str">
            <v>01.0016</v>
          </cell>
          <cell r="G412">
            <v>45055</v>
          </cell>
          <cell r="H412" t="str">
            <v>01.0016</v>
          </cell>
          <cell r="I412" t="str">
            <v>לוונשטיין טכנולוגיות בע"מ</v>
          </cell>
          <cell r="J412">
            <v>0.5</v>
          </cell>
          <cell r="K412" t="str">
            <v>₪</v>
          </cell>
          <cell r="L412">
            <v>2000</v>
          </cell>
          <cell r="M412" t="str">
            <v>יח'</v>
          </cell>
          <cell r="N412">
            <v>1000</v>
          </cell>
        </row>
        <row r="413">
          <cell r="B413" t="str">
            <v>MS122078, INSERT, HELICAL, 6-32 X 1D</v>
          </cell>
          <cell r="C413">
            <v>33893</v>
          </cell>
          <cell r="D413">
            <v>1</v>
          </cell>
          <cell r="E413" t="str">
            <v>קשיח</v>
          </cell>
          <cell r="F413" t="str">
            <v>01.0016</v>
          </cell>
          <cell r="G413">
            <v>45053</v>
          </cell>
          <cell r="H413" t="str">
            <v>01.0016</v>
          </cell>
          <cell r="I413" t="str">
            <v>דר טכנולוגיות בע"מ</v>
          </cell>
          <cell r="J413">
            <v>0.44130000000000003</v>
          </cell>
          <cell r="K413" t="str">
            <v>₪</v>
          </cell>
          <cell r="L413">
            <v>2000</v>
          </cell>
          <cell r="M413" t="str">
            <v>יח'</v>
          </cell>
          <cell r="N413">
            <v>882.6</v>
          </cell>
        </row>
        <row r="414">
          <cell r="B414" t="str">
            <v>MS122078, INSERT, HELICAL, 6-32 X 1D</v>
          </cell>
          <cell r="C414">
            <v>32731</v>
          </cell>
          <cell r="D414">
            <v>1</v>
          </cell>
          <cell r="E414" t="str">
            <v>קשיח</v>
          </cell>
          <cell r="F414" t="str">
            <v>01.0016</v>
          </cell>
          <cell r="G414">
            <v>44872</v>
          </cell>
          <cell r="H414" t="str">
            <v>01.0016</v>
          </cell>
          <cell r="I414" t="str">
            <v>דר טכנולוגיות בע"מ</v>
          </cell>
          <cell r="J414">
            <v>0.44</v>
          </cell>
          <cell r="K414" t="str">
            <v>₪</v>
          </cell>
          <cell r="L414">
            <v>3000</v>
          </cell>
          <cell r="M414" t="str">
            <v>יח'</v>
          </cell>
          <cell r="N414">
            <v>1320</v>
          </cell>
        </row>
        <row r="415">
          <cell r="B415" t="str">
            <v>MS122078, INSERT, HELICAL, 6-32 X 1D</v>
          </cell>
          <cell r="C415">
            <v>31153</v>
          </cell>
          <cell r="D415">
            <v>1</v>
          </cell>
          <cell r="E415" t="str">
            <v>קשיח</v>
          </cell>
          <cell r="F415" t="str">
            <v>01.0016</v>
          </cell>
          <cell r="G415">
            <v>44642</v>
          </cell>
          <cell r="H415" t="str">
            <v>01.0016</v>
          </cell>
          <cell r="I415" t="str">
            <v>דר טכנולוגיות בע"מ</v>
          </cell>
          <cell r="J415">
            <v>0.44</v>
          </cell>
          <cell r="K415" t="str">
            <v>₪</v>
          </cell>
          <cell r="L415">
            <v>2000</v>
          </cell>
          <cell r="M415" t="str">
            <v>יח'</v>
          </cell>
          <cell r="N415">
            <v>880</v>
          </cell>
        </row>
        <row r="416">
          <cell r="B416" t="str">
            <v>MS122078, INSERT, HELICAL, 6-32 X 1D</v>
          </cell>
          <cell r="C416">
            <v>2897</v>
          </cell>
          <cell r="D416">
            <v>1</v>
          </cell>
          <cell r="E416" t="str">
            <v>קשיח</v>
          </cell>
          <cell r="F416" t="str">
            <v>01.0016</v>
          </cell>
          <cell r="G416">
            <v>41441</v>
          </cell>
          <cell r="H416" t="str">
            <v>01.0016</v>
          </cell>
          <cell r="I416" t="str">
            <v>לוונשטיין טכנולוגיות</v>
          </cell>
          <cell r="J416">
            <v>0.53</v>
          </cell>
          <cell r="K416" t="str">
            <v>₪</v>
          </cell>
          <cell r="L416">
            <v>1000</v>
          </cell>
          <cell r="M416" t="str">
            <v>יח'</v>
          </cell>
          <cell r="N416">
            <v>530</v>
          </cell>
        </row>
        <row r="417">
          <cell r="B417" t="str">
            <v>MS122079, INSERT, HELICAL, 8-32 X 1D"</v>
          </cell>
          <cell r="C417">
            <v>42874</v>
          </cell>
          <cell r="D417">
            <v>1</v>
          </cell>
          <cell r="E417" t="str">
            <v>קשיח</v>
          </cell>
          <cell r="F417" t="str">
            <v>01.0017</v>
          </cell>
          <cell r="G417">
            <v>45991</v>
          </cell>
          <cell r="H417" t="str">
            <v>01.0017</v>
          </cell>
          <cell r="I417" t="str">
            <v>דר טכנולוגיות בע"מ</v>
          </cell>
          <cell r="J417">
            <v>0.09</v>
          </cell>
          <cell r="K417" t="str">
            <v>$</v>
          </cell>
          <cell r="L417">
            <v>7000</v>
          </cell>
          <cell r="M417" t="str">
            <v>יח'</v>
          </cell>
          <cell r="N417">
            <v>1935.3600000000001</v>
          </cell>
        </row>
        <row r="418">
          <cell r="B418" t="str">
            <v>MS122079, INSERT, HELICAL, 8-32 X 1D"</v>
          </cell>
          <cell r="C418">
            <v>41480</v>
          </cell>
          <cell r="D418">
            <v>1</v>
          </cell>
          <cell r="E418" t="str">
            <v>קשיח</v>
          </cell>
          <cell r="F418" t="str">
            <v>01.0017</v>
          </cell>
          <cell r="G418">
            <v>45854</v>
          </cell>
          <cell r="H418" t="str">
            <v>01.0017</v>
          </cell>
          <cell r="I418" t="str">
            <v>א.בליצבלאו ושות תעשיות מתכת וזיווד בע"מ</v>
          </cell>
          <cell r="J418">
            <v>0.09</v>
          </cell>
          <cell r="K418" t="str">
            <v>$</v>
          </cell>
          <cell r="L418">
            <v>2000</v>
          </cell>
          <cell r="M418" t="str">
            <v>יח'</v>
          </cell>
          <cell r="N418">
            <v>552.96</v>
          </cell>
        </row>
        <row r="419">
          <cell r="B419" t="str">
            <v>MS122079, INSERT, HELICAL, 8-32 X 1D"</v>
          </cell>
          <cell r="C419">
            <v>41119</v>
          </cell>
          <cell r="D419">
            <v>1</v>
          </cell>
          <cell r="E419" t="str">
            <v>קשיח</v>
          </cell>
          <cell r="F419" t="str">
            <v>01.0017</v>
          </cell>
          <cell r="G419">
            <v>45817</v>
          </cell>
          <cell r="H419" t="str">
            <v>01.0017</v>
          </cell>
          <cell r="I419" t="str">
            <v>דר טכנולוגיות בע"מ</v>
          </cell>
          <cell r="J419">
            <v>9.0499999999999997E-2</v>
          </cell>
          <cell r="K419" t="str">
            <v>$</v>
          </cell>
          <cell r="L419">
            <v>2000</v>
          </cell>
          <cell r="M419" t="str">
            <v>יח'</v>
          </cell>
          <cell r="N419">
            <v>556.03200000000004</v>
          </cell>
        </row>
        <row r="420">
          <cell r="B420" t="str">
            <v>MS122079, INSERT, HELICAL, 8-32 X 1D"</v>
          </cell>
          <cell r="C420">
            <v>41119</v>
          </cell>
          <cell r="D420">
            <v>2</v>
          </cell>
          <cell r="E420" t="str">
            <v>קשיח</v>
          </cell>
          <cell r="F420" t="str">
            <v>01.0017</v>
          </cell>
          <cell r="G420">
            <v>45817</v>
          </cell>
          <cell r="H420" t="str">
            <v>01.0017</v>
          </cell>
          <cell r="I420" t="str">
            <v>דר טכנולוגיות בע"מ</v>
          </cell>
          <cell r="J420">
            <v>9.0499999999999997E-2</v>
          </cell>
          <cell r="K420" t="str">
            <v>$</v>
          </cell>
          <cell r="L420">
            <v>4000</v>
          </cell>
          <cell r="M420" t="str">
            <v>יח'</v>
          </cell>
          <cell r="N420">
            <v>1112.0640000000001</v>
          </cell>
        </row>
        <row r="421">
          <cell r="B421" t="str">
            <v>MS122079, INSERT, HELICAL, 8-32 X 1D"</v>
          </cell>
          <cell r="C421">
            <v>41119</v>
          </cell>
          <cell r="D421">
            <v>3</v>
          </cell>
          <cell r="E421" t="str">
            <v>קשיח</v>
          </cell>
          <cell r="F421" t="str">
            <v>01.0017</v>
          </cell>
          <cell r="G421">
            <v>45817</v>
          </cell>
          <cell r="H421" t="str">
            <v>01.0017</v>
          </cell>
          <cell r="I421" t="str">
            <v>דר טכנולוגיות בע"מ</v>
          </cell>
          <cell r="J421">
            <v>9.0499999999999997E-2</v>
          </cell>
          <cell r="K421" t="str">
            <v>$</v>
          </cell>
          <cell r="L421">
            <v>4000</v>
          </cell>
          <cell r="M421" t="str">
            <v>יח'</v>
          </cell>
          <cell r="N421">
            <v>1112.0640000000001</v>
          </cell>
        </row>
        <row r="422">
          <cell r="B422" t="str">
            <v>MS122079, INSERT, HELICAL, 8-32 X 1D"</v>
          </cell>
          <cell r="C422">
            <v>41119</v>
          </cell>
          <cell r="D422">
            <v>4</v>
          </cell>
          <cell r="E422" t="str">
            <v>קשיח</v>
          </cell>
          <cell r="F422" t="str">
            <v>01.0017</v>
          </cell>
          <cell r="G422">
            <v>45817</v>
          </cell>
          <cell r="H422" t="str">
            <v>01.0017</v>
          </cell>
          <cell r="I422" t="str">
            <v>דר טכנולוגיות בע"מ</v>
          </cell>
          <cell r="J422">
            <v>9.0499999999999997E-2</v>
          </cell>
          <cell r="K422" t="str">
            <v>$</v>
          </cell>
          <cell r="L422">
            <v>4000</v>
          </cell>
          <cell r="M422" t="str">
            <v>יח'</v>
          </cell>
          <cell r="N422">
            <v>1112.0640000000001</v>
          </cell>
        </row>
        <row r="423">
          <cell r="B423" t="str">
            <v>MS122079, INSERT, HELICAL, 8-32 X 1D"</v>
          </cell>
          <cell r="C423">
            <v>41119</v>
          </cell>
          <cell r="D423">
            <v>5</v>
          </cell>
          <cell r="E423" t="str">
            <v>קשיח</v>
          </cell>
          <cell r="F423" t="str">
            <v>01.0017</v>
          </cell>
          <cell r="G423">
            <v>45817</v>
          </cell>
          <cell r="H423" t="str">
            <v>01.0017</v>
          </cell>
          <cell r="I423" t="str">
            <v>דר טכנולוגיות בע"מ</v>
          </cell>
          <cell r="J423">
            <v>9.0499999999999997E-2</v>
          </cell>
          <cell r="K423" t="str">
            <v>$</v>
          </cell>
          <cell r="L423">
            <v>4000</v>
          </cell>
          <cell r="M423" t="str">
            <v>יח'</v>
          </cell>
          <cell r="N423">
            <v>1112.0640000000001</v>
          </cell>
        </row>
        <row r="424">
          <cell r="B424" t="str">
            <v>MS122079, INSERT, HELICAL, 8-32 X 1D"</v>
          </cell>
          <cell r="C424">
            <v>41119</v>
          </cell>
          <cell r="D424">
            <v>6</v>
          </cell>
          <cell r="E424" t="str">
            <v>קשיח</v>
          </cell>
          <cell r="F424" t="str">
            <v>01.0017</v>
          </cell>
          <cell r="G424">
            <v>45817</v>
          </cell>
          <cell r="H424" t="str">
            <v>01.0017</v>
          </cell>
          <cell r="I424" t="str">
            <v>דר טכנולוגיות בע"מ</v>
          </cell>
          <cell r="J424">
            <v>9.0499999999999997E-2</v>
          </cell>
          <cell r="K424" t="str">
            <v>$</v>
          </cell>
          <cell r="L424">
            <v>4000</v>
          </cell>
          <cell r="M424" t="str">
            <v>יח'</v>
          </cell>
          <cell r="N424">
            <v>1112.0640000000001</v>
          </cell>
        </row>
        <row r="425">
          <cell r="B425" t="str">
            <v>MS122079, INSERT, HELICAL, 8-32 X 1D"</v>
          </cell>
          <cell r="C425">
            <v>41119</v>
          </cell>
          <cell r="D425">
            <v>7</v>
          </cell>
          <cell r="E425" t="str">
            <v>קשיח</v>
          </cell>
          <cell r="F425" t="str">
            <v>01.0017</v>
          </cell>
          <cell r="G425">
            <v>45817</v>
          </cell>
          <cell r="H425" t="str">
            <v>01.0017</v>
          </cell>
          <cell r="I425" t="str">
            <v>דר טכנולוגיות בע"מ</v>
          </cell>
          <cell r="J425">
            <v>9.0499999999999997E-2</v>
          </cell>
          <cell r="K425" t="str">
            <v>$</v>
          </cell>
          <cell r="L425">
            <v>4000</v>
          </cell>
          <cell r="M425" t="str">
            <v>יח'</v>
          </cell>
          <cell r="N425">
            <v>1112.0640000000001</v>
          </cell>
        </row>
        <row r="426">
          <cell r="B426" t="str">
            <v>MS122079, INSERT, HELICAL, 8-32 X 1D"</v>
          </cell>
          <cell r="C426">
            <v>41119</v>
          </cell>
          <cell r="D426">
            <v>8</v>
          </cell>
          <cell r="E426" t="str">
            <v>קשיח</v>
          </cell>
          <cell r="F426" t="str">
            <v>01.0017</v>
          </cell>
          <cell r="G426">
            <v>45817</v>
          </cell>
          <cell r="H426" t="str">
            <v>01.0017</v>
          </cell>
          <cell r="I426" t="str">
            <v>דר טכנולוגיות בע"מ</v>
          </cell>
          <cell r="J426">
            <v>9.0499999999999997E-2</v>
          </cell>
          <cell r="K426" t="str">
            <v>$</v>
          </cell>
          <cell r="L426">
            <v>4000</v>
          </cell>
          <cell r="M426" t="str">
            <v>יח'</v>
          </cell>
          <cell r="N426">
            <v>1112.0640000000001</v>
          </cell>
        </row>
        <row r="427">
          <cell r="B427" t="str">
            <v>MS122079, INSERT, HELICAL, 8-32 X 1D"</v>
          </cell>
          <cell r="C427">
            <v>36878</v>
          </cell>
          <cell r="D427">
            <v>1</v>
          </cell>
          <cell r="E427" t="str">
            <v>קשיח</v>
          </cell>
          <cell r="F427" t="str">
            <v>01.0017</v>
          </cell>
          <cell r="G427">
            <v>45390</v>
          </cell>
          <cell r="H427" t="str">
            <v>01.0017</v>
          </cell>
          <cell r="I427" t="str">
            <v>לוונשטיין טכנולוגיות בע"מ</v>
          </cell>
          <cell r="J427">
            <v>0.53449999999999998</v>
          </cell>
          <cell r="K427" t="str">
            <v>₪</v>
          </cell>
          <cell r="L427">
            <v>1000</v>
          </cell>
          <cell r="M427" t="str">
            <v>יח'</v>
          </cell>
          <cell r="N427">
            <v>534.5</v>
          </cell>
        </row>
        <row r="428">
          <cell r="B428" t="str">
            <v>MS122079, INSERT, HELICAL, 8-32 X 1D"</v>
          </cell>
          <cell r="C428">
            <v>30151</v>
          </cell>
          <cell r="D428">
            <v>3</v>
          </cell>
          <cell r="E428" t="str">
            <v>קשיח</v>
          </cell>
          <cell r="F428" t="str">
            <v>01.0017</v>
          </cell>
          <cell r="G428">
            <v>44509</v>
          </cell>
          <cell r="H428" t="str">
            <v>01.0017</v>
          </cell>
          <cell r="I428" t="str">
            <v>לוונשטיין טכנולוגיות בע"מ</v>
          </cell>
          <cell r="J428">
            <v>0.53</v>
          </cell>
          <cell r="K428" t="str">
            <v>₪</v>
          </cell>
          <cell r="L428">
            <v>1000</v>
          </cell>
          <cell r="M428" t="str">
            <v>יח'</v>
          </cell>
          <cell r="N428">
            <v>530</v>
          </cell>
        </row>
        <row r="429">
          <cell r="B429" t="str">
            <v>MS122079, INSERT, HELICAL, 8-32 X 1D"</v>
          </cell>
          <cell r="C429">
            <v>29712</v>
          </cell>
          <cell r="D429">
            <v>1</v>
          </cell>
          <cell r="E429" t="str">
            <v>קשיח</v>
          </cell>
          <cell r="F429" t="str">
            <v>01.0017</v>
          </cell>
          <cell r="G429">
            <v>44448</v>
          </cell>
          <cell r="H429" t="str">
            <v>01.0017</v>
          </cell>
          <cell r="I429" t="str">
            <v>דר טכנולוגיות בע"מ</v>
          </cell>
          <cell r="J429">
            <v>0.48</v>
          </cell>
          <cell r="K429" t="str">
            <v>₪</v>
          </cell>
          <cell r="L429">
            <v>3000</v>
          </cell>
          <cell r="M429" t="str">
            <v>יח'</v>
          </cell>
          <cell r="N429">
            <v>1440</v>
          </cell>
        </row>
        <row r="430">
          <cell r="B430" t="str">
            <v>MS122079, INSERT, HELICAL, 8-32 X 1D"</v>
          </cell>
          <cell r="C430">
            <v>29459</v>
          </cell>
          <cell r="D430">
            <v>1</v>
          </cell>
          <cell r="E430" t="str">
            <v>קשיח</v>
          </cell>
          <cell r="F430" t="str">
            <v>01.0017</v>
          </cell>
          <cell r="G430">
            <v>44409</v>
          </cell>
          <cell r="H430" t="str">
            <v>01.0017</v>
          </cell>
          <cell r="I430" t="str">
            <v>לוונשטיין טכנולוגיות</v>
          </cell>
          <cell r="J430">
            <v>0.53</v>
          </cell>
          <cell r="K430" t="str">
            <v>₪</v>
          </cell>
          <cell r="L430">
            <v>1000</v>
          </cell>
          <cell r="M430" t="str">
            <v>יח'</v>
          </cell>
          <cell r="N430">
            <v>530</v>
          </cell>
        </row>
        <row r="431">
          <cell r="B431" t="str">
            <v>MS122079, INSERT, HELICAL, 8-32 X 1D"</v>
          </cell>
          <cell r="C431">
            <v>29241</v>
          </cell>
          <cell r="D431">
            <v>1</v>
          </cell>
          <cell r="E431" t="str">
            <v>קשיח</v>
          </cell>
          <cell r="F431" t="str">
            <v>01.0017</v>
          </cell>
          <cell r="G431">
            <v>44384</v>
          </cell>
          <cell r="H431" t="str">
            <v>01.0017</v>
          </cell>
          <cell r="I431" t="str">
            <v>דר טכנולוגיות בע"מ</v>
          </cell>
          <cell r="J431">
            <v>0.48</v>
          </cell>
          <cell r="K431" t="str">
            <v>₪</v>
          </cell>
          <cell r="L431">
            <v>3000</v>
          </cell>
          <cell r="M431" t="str">
            <v>יח'</v>
          </cell>
          <cell r="N431">
            <v>1440</v>
          </cell>
        </row>
        <row r="432">
          <cell r="B432" t="str">
            <v>MS122079, INSERT, HELICAL, 8-32 X 1D"</v>
          </cell>
          <cell r="C432">
            <v>28657</v>
          </cell>
          <cell r="D432">
            <v>1</v>
          </cell>
          <cell r="E432" t="str">
            <v>קשיח</v>
          </cell>
          <cell r="F432" t="str">
            <v>01.0017</v>
          </cell>
          <cell r="G432">
            <v>44307</v>
          </cell>
          <cell r="H432" t="str">
            <v>01.0017</v>
          </cell>
          <cell r="I432" t="str">
            <v>דר טכנולוגיות בע"מ</v>
          </cell>
          <cell r="J432">
            <v>0.44719999999999999</v>
          </cell>
          <cell r="K432" t="str">
            <v>₪</v>
          </cell>
          <cell r="L432">
            <v>1000</v>
          </cell>
          <cell r="M432" t="str">
            <v>יח'</v>
          </cell>
          <cell r="N432">
            <v>447.2</v>
          </cell>
        </row>
        <row r="433">
          <cell r="B433" t="str">
            <v>MS122079, INSERT, HELICAL, 8-32 X 1D"</v>
          </cell>
          <cell r="C433">
            <v>28470</v>
          </cell>
          <cell r="D433">
            <v>1</v>
          </cell>
          <cell r="E433" t="str">
            <v>קשיח</v>
          </cell>
          <cell r="F433" t="str">
            <v>01.0017</v>
          </cell>
          <cell r="G433">
            <v>44280</v>
          </cell>
          <cell r="H433" t="str">
            <v>01.0017</v>
          </cell>
          <cell r="I433" t="str">
            <v>דר טכנולוגיות בע"מ</v>
          </cell>
          <cell r="J433">
            <v>0.4491</v>
          </cell>
          <cell r="K433" t="str">
            <v>₪</v>
          </cell>
          <cell r="L433">
            <v>2000</v>
          </cell>
          <cell r="M433" t="str">
            <v>יח'</v>
          </cell>
          <cell r="N433">
            <v>898.2</v>
          </cell>
        </row>
        <row r="434">
          <cell r="B434" t="str">
            <v>MS122079, INSERT, HELICAL, 8-32 X 1D"</v>
          </cell>
          <cell r="C434">
            <v>28051</v>
          </cell>
          <cell r="D434">
            <v>2</v>
          </cell>
          <cell r="E434" t="str">
            <v>קשיח</v>
          </cell>
          <cell r="F434" t="str">
            <v>01.0017</v>
          </cell>
          <cell r="G434">
            <v>44224</v>
          </cell>
          <cell r="H434" t="str">
            <v>01.0017</v>
          </cell>
          <cell r="I434" t="str">
            <v>דר טכנולוגיות בע"מ</v>
          </cell>
          <cell r="J434">
            <v>0.4501</v>
          </cell>
          <cell r="K434" t="str">
            <v>₪</v>
          </cell>
          <cell r="L434">
            <v>1000</v>
          </cell>
          <cell r="M434" t="str">
            <v>יח'</v>
          </cell>
          <cell r="N434">
            <v>450.1</v>
          </cell>
        </row>
        <row r="435">
          <cell r="B435" t="str">
            <v>MS122079, INSERT, HELICAL, 8-32 X 1D"</v>
          </cell>
          <cell r="C435">
            <v>27897</v>
          </cell>
          <cell r="D435">
            <v>1</v>
          </cell>
          <cell r="E435" t="str">
            <v>קשיח</v>
          </cell>
          <cell r="F435" t="str">
            <v>01.0017</v>
          </cell>
          <cell r="G435">
            <v>44200</v>
          </cell>
          <cell r="H435" t="str">
            <v>01.0017</v>
          </cell>
          <cell r="I435" t="str">
            <v>דר טכנולוגיות בע"מ</v>
          </cell>
          <cell r="J435">
            <v>0.45069999999999999</v>
          </cell>
          <cell r="K435" t="str">
            <v>₪</v>
          </cell>
          <cell r="L435">
            <v>2000</v>
          </cell>
          <cell r="M435" t="str">
            <v>יח'</v>
          </cell>
          <cell r="N435">
            <v>901.4</v>
          </cell>
        </row>
        <row r="436">
          <cell r="B436" t="str">
            <v>MS122079, INSERT, HELICAL, 8-32 X 1D"</v>
          </cell>
          <cell r="C436">
            <v>27763</v>
          </cell>
          <cell r="D436">
            <v>1</v>
          </cell>
          <cell r="E436" t="str">
            <v>קשיח</v>
          </cell>
          <cell r="F436" t="str">
            <v>01.0017</v>
          </cell>
          <cell r="G436">
            <v>44179</v>
          </cell>
          <cell r="H436" t="str">
            <v>01.0017</v>
          </cell>
          <cell r="I436" t="str">
            <v>דר טכנולוגיות בע"מ</v>
          </cell>
          <cell r="J436">
            <v>0.45069999999999999</v>
          </cell>
          <cell r="K436" t="str">
            <v>₪</v>
          </cell>
          <cell r="L436">
            <v>1000</v>
          </cell>
          <cell r="M436" t="str">
            <v>יח'</v>
          </cell>
          <cell r="N436">
            <v>450.7</v>
          </cell>
        </row>
        <row r="437">
          <cell r="B437" t="str">
            <v>MS122079, INSERT, HELICAL, 8-32 X 1D"</v>
          </cell>
          <cell r="C437">
            <v>27556</v>
          </cell>
          <cell r="D437">
            <v>1</v>
          </cell>
          <cell r="E437" t="str">
            <v>קשיח</v>
          </cell>
          <cell r="F437" t="str">
            <v>01.0017</v>
          </cell>
          <cell r="G437">
            <v>44154</v>
          </cell>
          <cell r="H437" t="str">
            <v>01.0017</v>
          </cell>
          <cell r="I437" t="str">
            <v>דר טכנולוגיות בע"מ</v>
          </cell>
          <cell r="J437">
            <v>0.45079999999999998</v>
          </cell>
          <cell r="K437" t="str">
            <v>₪</v>
          </cell>
          <cell r="L437">
            <v>1000</v>
          </cell>
          <cell r="M437" t="str">
            <v>יח'</v>
          </cell>
          <cell r="N437">
            <v>450.79999999999995</v>
          </cell>
        </row>
        <row r="438">
          <cell r="B438" t="str">
            <v>MS122079, INSERT, HELICAL, 8-32 X 1D"</v>
          </cell>
          <cell r="C438">
            <v>27137</v>
          </cell>
          <cell r="D438">
            <v>2</v>
          </cell>
          <cell r="E438" t="str">
            <v>קשיח</v>
          </cell>
          <cell r="F438" t="str">
            <v>01.0017</v>
          </cell>
          <cell r="G438">
            <v>44096</v>
          </cell>
          <cell r="H438" t="str">
            <v>01.0017</v>
          </cell>
          <cell r="I438" t="str">
            <v>דר טכנולוגיות בע"מ</v>
          </cell>
          <cell r="J438">
            <v>0.4526</v>
          </cell>
          <cell r="K438" t="str">
            <v>₪</v>
          </cell>
          <cell r="L438">
            <v>1000</v>
          </cell>
          <cell r="M438" t="str">
            <v>יח'</v>
          </cell>
          <cell r="N438">
            <v>452.6</v>
          </cell>
        </row>
        <row r="439">
          <cell r="B439" t="str">
            <v>MS122079, INSERT, HELICAL, 8-32 X 1D"</v>
          </cell>
          <cell r="C439">
            <v>26766</v>
          </cell>
          <cell r="D439">
            <v>1</v>
          </cell>
          <cell r="E439" t="str">
            <v>קשיח</v>
          </cell>
          <cell r="F439" t="str">
            <v>01.0017</v>
          </cell>
          <cell r="G439">
            <v>44042</v>
          </cell>
          <cell r="H439" t="str">
            <v>01.0017</v>
          </cell>
          <cell r="I439" t="str">
            <v>דר טכנולוגיות בע"מ</v>
          </cell>
          <cell r="J439">
            <v>0.45</v>
          </cell>
          <cell r="K439" t="str">
            <v>₪</v>
          </cell>
          <cell r="L439">
            <v>2000</v>
          </cell>
          <cell r="M439" t="str">
            <v>יח'</v>
          </cell>
          <cell r="N439">
            <v>900</v>
          </cell>
        </row>
        <row r="440">
          <cell r="B440" t="str">
            <v>MS122079, INSERT, HELICAL, 8-32 X 1D"</v>
          </cell>
          <cell r="C440">
            <v>26419</v>
          </cell>
          <cell r="D440">
            <v>1</v>
          </cell>
          <cell r="E440" t="str">
            <v>קשיח</v>
          </cell>
          <cell r="F440" t="str">
            <v>01.0017</v>
          </cell>
          <cell r="G440">
            <v>44003</v>
          </cell>
          <cell r="H440" t="str">
            <v>01.0017</v>
          </cell>
          <cell r="I440" t="str">
            <v>דר טכנולוגיות בע"מ</v>
          </cell>
          <cell r="J440">
            <v>0.4471</v>
          </cell>
          <cell r="K440" t="str">
            <v>₪</v>
          </cell>
          <cell r="L440">
            <v>1000</v>
          </cell>
          <cell r="M440" t="str">
            <v>יח'</v>
          </cell>
          <cell r="N440">
            <v>447.1</v>
          </cell>
        </row>
        <row r="441">
          <cell r="B441" t="str">
            <v>MS122079, INSERT, HELICAL, 8-32 X 1D"</v>
          </cell>
          <cell r="C441">
            <v>26246</v>
          </cell>
          <cell r="D441">
            <v>1</v>
          </cell>
          <cell r="E441" t="str">
            <v>קשיח</v>
          </cell>
          <cell r="F441" t="str">
            <v>01.0017</v>
          </cell>
          <cell r="G441">
            <v>43978</v>
          </cell>
          <cell r="H441" t="str">
            <v>01.0017</v>
          </cell>
          <cell r="I441" t="str">
            <v>דר טכנולוגיות בע"מ</v>
          </cell>
          <cell r="J441">
            <v>0.44819999999999999</v>
          </cell>
          <cell r="K441" t="str">
            <v>₪</v>
          </cell>
          <cell r="L441">
            <v>1000</v>
          </cell>
          <cell r="M441" t="str">
            <v>יח'</v>
          </cell>
          <cell r="N441">
            <v>448.2</v>
          </cell>
        </row>
        <row r="442">
          <cell r="B442" t="str">
            <v>MS122079, INSERT, HELICAL, 8-32 X 1D"</v>
          </cell>
          <cell r="C442">
            <v>26118</v>
          </cell>
          <cell r="D442">
            <v>1</v>
          </cell>
          <cell r="E442" t="str">
            <v>קשיח</v>
          </cell>
          <cell r="F442" t="str">
            <v>01.0017</v>
          </cell>
          <cell r="G442">
            <v>43958</v>
          </cell>
          <cell r="H442" t="str">
            <v>01.0017</v>
          </cell>
          <cell r="I442" t="str">
            <v>דר טכנולוגיות בע"מ</v>
          </cell>
          <cell r="J442">
            <v>0.45</v>
          </cell>
          <cell r="K442" t="str">
            <v>₪</v>
          </cell>
          <cell r="L442">
            <v>1000</v>
          </cell>
          <cell r="M442" t="str">
            <v>יח'</v>
          </cell>
          <cell r="N442">
            <v>450</v>
          </cell>
        </row>
        <row r="443">
          <cell r="B443" t="str">
            <v>MS122079, INSERT, HELICAL, 8-32 X 1D"</v>
          </cell>
          <cell r="C443">
            <v>25780</v>
          </cell>
          <cell r="D443">
            <v>1</v>
          </cell>
          <cell r="E443" t="str">
            <v>קשיח</v>
          </cell>
          <cell r="F443" t="str">
            <v>01.0017</v>
          </cell>
          <cell r="G443">
            <v>43899</v>
          </cell>
          <cell r="H443" t="str">
            <v>01.0017</v>
          </cell>
          <cell r="I443" t="str">
            <v>לוונשטיין טכנולוגיות</v>
          </cell>
          <cell r="J443">
            <v>0.53</v>
          </cell>
          <cell r="K443" t="str">
            <v>₪</v>
          </cell>
          <cell r="L443">
            <v>1000</v>
          </cell>
          <cell r="M443" t="str">
            <v>יח'</v>
          </cell>
          <cell r="N443">
            <v>530</v>
          </cell>
        </row>
        <row r="444">
          <cell r="B444" t="str">
            <v>MS122079, INSERT, HELICAL, 8-32 X 1D"</v>
          </cell>
          <cell r="C444">
            <v>25741</v>
          </cell>
          <cell r="D444">
            <v>1</v>
          </cell>
          <cell r="E444" t="str">
            <v>קשיח</v>
          </cell>
          <cell r="F444" t="str">
            <v>01.0017</v>
          </cell>
          <cell r="G444">
            <v>43891</v>
          </cell>
          <cell r="H444" t="str">
            <v>01.0017</v>
          </cell>
          <cell r="I444" t="str">
            <v>דר טכנולוגיות בע"מ</v>
          </cell>
          <cell r="J444">
            <v>0.45490000000000003</v>
          </cell>
          <cell r="K444" t="str">
            <v>₪</v>
          </cell>
          <cell r="L444">
            <v>1000</v>
          </cell>
          <cell r="M444" t="str">
            <v>יח'</v>
          </cell>
          <cell r="N444">
            <v>454.90000000000003</v>
          </cell>
        </row>
        <row r="445">
          <cell r="B445" t="str">
            <v>MS122079, INSERT, HELICAL, 8-32 X 1D"</v>
          </cell>
          <cell r="C445">
            <v>25011</v>
          </cell>
          <cell r="D445">
            <v>1</v>
          </cell>
          <cell r="E445" t="str">
            <v>קשיח</v>
          </cell>
          <cell r="F445" t="str">
            <v>01.0017</v>
          </cell>
          <cell r="G445">
            <v>43779</v>
          </cell>
          <cell r="H445" t="str">
            <v>01.0017</v>
          </cell>
          <cell r="I445" t="str">
            <v>דר טכנולוגיות בע"מ</v>
          </cell>
          <cell r="J445">
            <v>0.45050000000000001</v>
          </cell>
          <cell r="K445" t="str">
            <v>₪</v>
          </cell>
          <cell r="L445">
            <v>2000</v>
          </cell>
          <cell r="M445" t="str">
            <v>יח'</v>
          </cell>
          <cell r="N445">
            <v>901</v>
          </cell>
        </row>
        <row r="446">
          <cell r="B446" t="str">
            <v>MS122079, INSERT, HELICAL, 8-32 X 1D"</v>
          </cell>
          <cell r="C446">
            <v>23245</v>
          </cell>
          <cell r="D446">
            <v>1</v>
          </cell>
          <cell r="E446" t="str">
            <v>קשיח</v>
          </cell>
          <cell r="F446" t="str">
            <v>01.0017</v>
          </cell>
          <cell r="G446">
            <v>43541</v>
          </cell>
          <cell r="H446" t="str">
            <v>01.0017</v>
          </cell>
          <cell r="I446" t="str">
            <v>ברמיל בע"מ</v>
          </cell>
          <cell r="J446">
            <v>0.45</v>
          </cell>
          <cell r="K446" t="str">
            <v>₪</v>
          </cell>
          <cell r="L446">
            <v>2000</v>
          </cell>
          <cell r="M446" t="str">
            <v>יח'</v>
          </cell>
          <cell r="N446">
            <v>900</v>
          </cell>
        </row>
        <row r="447">
          <cell r="B447" t="str">
            <v>MS122079, INSERT, HELICAL, 8-32 X 1D"</v>
          </cell>
          <cell r="C447">
            <v>23012</v>
          </cell>
          <cell r="D447">
            <v>1</v>
          </cell>
          <cell r="E447" t="str">
            <v>קשיח</v>
          </cell>
          <cell r="F447" t="str">
            <v>01.0017</v>
          </cell>
          <cell r="G447">
            <v>43517</v>
          </cell>
          <cell r="H447" t="str">
            <v>01.0017</v>
          </cell>
          <cell r="I447" t="str">
            <v>דר טכנולוגיות בע"מ</v>
          </cell>
          <cell r="J447">
            <v>0.4778</v>
          </cell>
          <cell r="K447" t="str">
            <v>₪</v>
          </cell>
          <cell r="L447">
            <v>2000</v>
          </cell>
          <cell r="M447" t="str">
            <v>יח'</v>
          </cell>
          <cell r="N447">
            <v>955.6</v>
          </cell>
        </row>
        <row r="448">
          <cell r="B448" t="str">
            <v>MS122079, INSERT, HELICAL, 8-32 X 1D"</v>
          </cell>
          <cell r="C448">
            <v>4463</v>
          </cell>
          <cell r="D448">
            <v>1</v>
          </cell>
          <cell r="E448" t="str">
            <v>קשיח</v>
          </cell>
          <cell r="F448" t="str">
            <v>01.0017</v>
          </cell>
          <cell r="G448">
            <v>41645</v>
          </cell>
          <cell r="H448" t="str">
            <v>01.0017</v>
          </cell>
          <cell r="I448" t="str">
            <v>לוונשטיין טכנולוגיות</v>
          </cell>
          <cell r="J448">
            <v>0</v>
          </cell>
          <cell r="K448" t="str">
            <v>₪</v>
          </cell>
          <cell r="M448" t="str">
            <v>יח'</v>
          </cell>
        </row>
        <row r="449">
          <cell r="B449" t="str">
            <v>MS122083, INSERT, HELICAL, 3/8-16 X 1D</v>
          </cell>
          <cell r="C449">
            <v>24421</v>
          </cell>
          <cell r="D449">
            <v>1</v>
          </cell>
          <cell r="E449" t="str">
            <v>קשיח</v>
          </cell>
          <cell r="F449" t="str">
            <v>01.0018</v>
          </cell>
          <cell r="G449">
            <v>43682</v>
          </cell>
          <cell r="H449" t="str">
            <v>01.0018</v>
          </cell>
          <cell r="I449" t="str">
            <v>דר טכנולוגיות בע"מ</v>
          </cell>
          <cell r="J449">
            <v>0.75</v>
          </cell>
          <cell r="K449" t="str">
            <v>₪</v>
          </cell>
          <cell r="L449">
            <v>500</v>
          </cell>
          <cell r="M449" t="str">
            <v>יח'</v>
          </cell>
          <cell r="N449">
            <v>375</v>
          </cell>
        </row>
        <row r="450">
          <cell r="B450" t="str">
            <v>MS122083, INSERT, HELICAL, 3/8-16 X 1D</v>
          </cell>
          <cell r="C450">
            <v>18625</v>
          </cell>
          <cell r="D450">
            <v>8</v>
          </cell>
          <cell r="E450" t="str">
            <v>קשיח</v>
          </cell>
          <cell r="F450" t="str">
            <v>01.0018</v>
          </cell>
          <cell r="G450">
            <v>43104</v>
          </cell>
          <cell r="H450" t="str">
            <v>01.0018</v>
          </cell>
          <cell r="I450" t="str">
            <v>גין מהנדסים בע"מ</v>
          </cell>
          <cell r="J450">
            <v>0.75080000000000002</v>
          </cell>
          <cell r="K450" t="str">
            <v>₪</v>
          </cell>
          <cell r="M450" t="str">
            <v>יח'</v>
          </cell>
        </row>
        <row r="451">
          <cell r="B451" t="str">
            <v>MS122118, INSERT, HELICAL,   -32 X 1.5D בגליל</v>
          </cell>
          <cell r="C451">
            <v>42756</v>
          </cell>
          <cell r="D451">
            <v>3</v>
          </cell>
          <cell r="E451" t="str">
            <v>קשיח</v>
          </cell>
          <cell r="F451" t="str">
            <v>01.0019</v>
          </cell>
          <cell r="G451">
            <v>45981</v>
          </cell>
          <cell r="H451" t="str">
            <v>01.0019</v>
          </cell>
          <cell r="I451" t="str">
            <v>לוונשטיין טכנולוגיות בע"מ</v>
          </cell>
          <cell r="J451">
            <v>0.51959999999999995</v>
          </cell>
          <cell r="K451" t="str">
            <v>₪</v>
          </cell>
          <cell r="L451">
            <v>2000</v>
          </cell>
          <cell r="M451" t="str">
            <v>יח'</v>
          </cell>
          <cell r="N451">
            <v>1039.1999999999998</v>
          </cell>
        </row>
        <row r="452">
          <cell r="B452" t="str">
            <v>MS122118, INSERT, HELICAL,   -32 X 1.5D בגליל</v>
          </cell>
          <cell r="C452">
            <v>39996</v>
          </cell>
          <cell r="D452">
            <v>3</v>
          </cell>
          <cell r="E452" t="str">
            <v>קשיח</v>
          </cell>
          <cell r="F452" t="str">
            <v>01.0019</v>
          </cell>
          <cell r="G452">
            <v>45715</v>
          </cell>
          <cell r="H452" t="str">
            <v>01.0019</v>
          </cell>
          <cell r="I452" t="str">
            <v>לוונשטיין טכנולוגיות בע"מ</v>
          </cell>
          <cell r="J452">
            <v>0.51959999999999995</v>
          </cell>
          <cell r="K452" t="str">
            <v>₪</v>
          </cell>
          <cell r="L452">
            <v>2000</v>
          </cell>
          <cell r="M452" t="str">
            <v>יח'</v>
          </cell>
          <cell r="N452">
            <v>1039.1999999999998</v>
          </cell>
        </row>
        <row r="453">
          <cell r="B453" t="str">
            <v>MS122118, INSERT, HELICAL,   -32 X 1.5D בגליל</v>
          </cell>
          <cell r="C453">
            <v>38992</v>
          </cell>
          <cell r="D453">
            <v>1</v>
          </cell>
          <cell r="E453" t="str">
            <v>קשיח</v>
          </cell>
          <cell r="F453" t="str">
            <v>01.0019</v>
          </cell>
          <cell r="G453">
            <v>45627</v>
          </cell>
          <cell r="H453" t="str">
            <v>01.0019</v>
          </cell>
          <cell r="I453" t="str">
            <v>לוונשטיין טכנולוגיות בע"מ</v>
          </cell>
          <cell r="J453">
            <v>0.52</v>
          </cell>
          <cell r="K453" t="str">
            <v>₪</v>
          </cell>
          <cell r="L453">
            <v>3000</v>
          </cell>
          <cell r="M453" t="str">
            <v>יח'</v>
          </cell>
          <cell r="N453">
            <v>1560</v>
          </cell>
        </row>
        <row r="454">
          <cell r="B454" t="str">
            <v>MS122118, INSERT, HELICAL,   -32 X 1.5D בגליל</v>
          </cell>
          <cell r="C454">
            <v>38951</v>
          </cell>
          <cell r="D454">
            <v>1</v>
          </cell>
          <cell r="E454" t="str">
            <v>קשיח</v>
          </cell>
          <cell r="F454" t="str">
            <v>01.0019</v>
          </cell>
          <cell r="G454">
            <v>45623</v>
          </cell>
          <cell r="H454" t="str">
            <v>01.0019</v>
          </cell>
          <cell r="I454" t="str">
            <v>דר טכנולוגיות בע"מ</v>
          </cell>
          <cell r="J454">
            <v>0.42</v>
          </cell>
          <cell r="K454" t="str">
            <v>₪</v>
          </cell>
          <cell r="L454">
            <v>2000</v>
          </cell>
          <cell r="M454" t="str">
            <v>יח'</v>
          </cell>
          <cell r="N454">
            <v>840</v>
          </cell>
        </row>
        <row r="455">
          <cell r="B455" t="str">
            <v>MS122118, INSERT, HELICAL,   -32 X 1.5D בגליל</v>
          </cell>
          <cell r="C455">
            <v>36647</v>
          </cell>
          <cell r="D455">
            <v>1</v>
          </cell>
          <cell r="E455" t="str">
            <v>קשיח</v>
          </cell>
          <cell r="F455" t="str">
            <v>01.0019</v>
          </cell>
          <cell r="G455">
            <v>45368</v>
          </cell>
          <cell r="H455" t="str">
            <v>01.0019</v>
          </cell>
          <cell r="I455" t="str">
            <v>דר טכנולוגיות בע"מ</v>
          </cell>
          <cell r="J455">
            <v>0.42</v>
          </cell>
          <cell r="K455" t="str">
            <v>₪</v>
          </cell>
          <cell r="L455">
            <v>2000</v>
          </cell>
          <cell r="M455" t="str">
            <v>יח'</v>
          </cell>
          <cell r="N455">
            <v>840</v>
          </cell>
        </row>
        <row r="456">
          <cell r="B456" t="str">
            <v>MS122118, INSERT, HELICAL,   -32 X 1.5D בגליל</v>
          </cell>
          <cell r="C456">
            <v>35081</v>
          </cell>
          <cell r="D456">
            <v>2</v>
          </cell>
          <cell r="E456" t="str">
            <v>קשיח</v>
          </cell>
          <cell r="F456" t="str">
            <v>01.0019</v>
          </cell>
          <cell r="G456">
            <v>45180</v>
          </cell>
          <cell r="H456" t="str">
            <v>01.0019</v>
          </cell>
          <cell r="I456" t="str">
            <v>לוונשטיין טכנולוגיות בע"מ</v>
          </cell>
          <cell r="J456">
            <v>0.53</v>
          </cell>
          <cell r="K456" t="str">
            <v>₪</v>
          </cell>
          <cell r="L456">
            <v>2000</v>
          </cell>
          <cell r="M456" t="str">
            <v>יח'</v>
          </cell>
          <cell r="N456">
            <v>1060</v>
          </cell>
        </row>
        <row r="457">
          <cell r="B457" t="str">
            <v>MS122118, INSERT, HELICAL,   -32 X 1.5D בגליל</v>
          </cell>
          <cell r="C457">
            <v>34199</v>
          </cell>
          <cell r="D457">
            <v>2</v>
          </cell>
          <cell r="E457" t="str">
            <v>קשיח</v>
          </cell>
          <cell r="F457" t="str">
            <v>01.0019</v>
          </cell>
          <cell r="G457">
            <v>45090</v>
          </cell>
          <cell r="H457" t="str">
            <v>01.0019</v>
          </cell>
          <cell r="I457" t="str">
            <v>דר טכנולוגיות בע"מ</v>
          </cell>
          <cell r="J457">
            <v>0.42520000000000002</v>
          </cell>
          <cell r="K457" t="str">
            <v>₪</v>
          </cell>
          <cell r="L457">
            <v>1000</v>
          </cell>
          <cell r="M457" t="str">
            <v>יח'</v>
          </cell>
          <cell r="N457">
            <v>425.20000000000005</v>
          </cell>
        </row>
        <row r="458">
          <cell r="B458" t="str">
            <v>MS122118, INSERT, HELICAL,   -32 X 1.5D בגליל</v>
          </cell>
          <cell r="C458">
            <v>29796</v>
          </cell>
          <cell r="D458">
            <v>1</v>
          </cell>
          <cell r="E458" t="str">
            <v>קשיח</v>
          </cell>
          <cell r="F458" t="str">
            <v>01.0019</v>
          </cell>
          <cell r="G458">
            <v>44461</v>
          </cell>
          <cell r="H458" t="str">
            <v>01.0019</v>
          </cell>
          <cell r="I458" t="str">
            <v>דר טכנולוגיות בע"מ</v>
          </cell>
          <cell r="J458">
            <v>0.43</v>
          </cell>
          <cell r="K458" t="str">
            <v>₪</v>
          </cell>
          <cell r="L458">
            <v>2000</v>
          </cell>
          <cell r="M458" t="str">
            <v>יח'</v>
          </cell>
          <cell r="N458">
            <v>860</v>
          </cell>
        </row>
        <row r="459">
          <cell r="B459" t="str">
            <v>MS122118, INSERT, HELICAL,   -32 X 1.5D בגליל</v>
          </cell>
          <cell r="C459">
            <v>27045</v>
          </cell>
          <cell r="D459">
            <v>1</v>
          </cell>
          <cell r="E459" t="str">
            <v>קשיח</v>
          </cell>
          <cell r="F459" t="str">
            <v>01.0019</v>
          </cell>
          <cell r="G459">
            <v>44081</v>
          </cell>
          <cell r="H459" t="str">
            <v>01.0019</v>
          </cell>
          <cell r="I459" t="str">
            <v>דר טכנולוגיות בע"מ</v>
          </cell>
          <cell r="J459">
            <v>0.40989999999999999</v>
          </cell>
          <cell r="K459" t="str">
            <v>₪</v>
          </cell>
          <cell r="L459">
            <v>1000</v>
          </cell>
          <cell r="M459" t="str">
            <v>יח'</v>
          </cell>
          <cell r="N459">
            <v>409.9</v>
          </cell>
        </row>
        <row r="460">
          <cell r="B460" t="str">
            <v>MS122119, INSERT, HELICAL, 8-32 X 1.5D</v>
          </cell>
          <cell r="C460">
            <v>44624</v>
          </cell>
          <cell r="D460">
            <v>3</v>
          </cell>
          <cell r="E460" t="str">
            <v>קשיח</v>
          </cell>
          <cell r="F460" t="str">
            <v>01.0020</v>
          </cell>
          <cell r="G460">
            <v>46049</v>
          </cell>
          <cell r="H460" t="str">
            <v>01.0020</v>
          </cell>
          <cell r="I460" t="str">
            <v>דר טכנולוגיות בע"מ</v>
          </cell>
          <cell r="J460">
            <v>0.46</v>
          </cell>
          <cell r="K460" t="str">
            <v>₪</v>
          </cell>
          <cell r="L460">
            <v>1000</v>
          </cell>
          <cell r="M460" t="str">
            <v>יח'</v>
          </cell>
          <cell r="N460">
            <v>460</v>
          </cell>
        </row>
        <row r="461">
          <cell r="B461" t="str">
            <v>MS122119, INSERT, HELICAL, 8-32 X 1.5D</v>
          </cell>
          <cell r="C461">
            <v>44618</v>
          </cell>
          <cell r="D461">
            <v>3</v>
          </cell>
          <cell r="E461" t="str">
            <v>קשיח</v>
          </cell>
          <cell r="F461" t="str">
            <v>01.0020</v>
          </cell>
          <cell r="G461">
            <v>46048</v>
          </cell>
          <cell r="H461" t="str">
            <v>01.0020</v>
          </cell>
          <cell r="I461" t="str">
            <v>דר טכנולוגיות בע"מ</v>
          </cell>
          <cell r="J461">
            <v>0.46</v>
          </cell>
          <cell r="K461" t="str">
            <v>₪</v>
          </cell>
          <cell r="L461">
            <v>1000</v>
          </cell>
          <cell r="M461" t="str">
            <v>יח'</v>
          </cell>
          <cell r="N461">
            <v>460</v>
          </cell>
        </row>
        <row r="462">
          <cell r="B462" t="str">
            <v>MS122119, INSERT, HELICAL, 8-32 X 1.5D</v>
          </cell>
          <cell r="C462">
            <v>44596</v>
          </cell>
          <cell r="D462">
            <v>3</v>
          </cell>
          <cell r="E462" t="str">
            <v>קשיח</v>
          </cell>
          <cell r="F462" t="str">
            <v>01.0020</v>
          </cell>
          <cell r="G462">
            <v>46047</v>
          </cell>
          <cell r="H462" t="str">
            <v>01.0020</v>
          </cell>
          <cell r="I462" t="str">
            <v>לוונשטיין טכנולוגיות בע"מ</v>
          </cell>
          <cell r="J462">
            <v>0.5</v>
          </cell>
          <cell r="K462" t="str">
            <v>₪</v>
          </cell>
          <cell r="L462">
            <v>1000</v>
          </cell>
          <cell r="M462" t="str">
            <v>יח'</v>
          </cell>
          <cell r="N462">
            <v>500</v>
          </cell>
        </row>
        <row r="463">
          <cell r="B463" t="str">
            <v>MS122119, INSERT, HELICAL, 8-32 X 1.5D</v>
          </cell>
          <cell r="C463">
            <v>43098</v>
          </cell>
          <cell r="D463">
            <v>1</v>
          </cell>
          <cell r="E463" t="str">
            <v>קשיח</v>
          </cell>
          <cell r="F463" t="str">
            <v>01.0020</v>
          </cell>
          <cell r="G463">
            <v>46008</v>
          </cell>
          <cell r="H463" t="str">
            <v>01.0020</v>
          </cell>
          <cell r="I463" t="str">
            <v>לוונשטיין טכנולוגיות בע"מ</v>
          </cell>
          <cell r="J463">
            <v>0.50419999999999998</v>
          </cell>
          <cell r="K463" t="str">
            <v>₪</v>
          </cell>
          <cell r="L463">
            <v>1000</v>
          </cell>
          <cell r="M463" t="str">
            <v>יח'</v>
          </cell>
          <cell r="N463">
            <v>504.2</v>
          </cell>
        </row>
        <row r="464">
          <cell r="B464" t="str">
            <v>MS122119, INSERT, HELICAL, 8-32 X 1.5D</v>
          </cell>
          <cell r="C464">
            <v>42664</v>
          </cell>
          <cell r="D464">
            <v>1</v>
          </cell>
          <cell r="E464" t="str">
            <v>קשיח</v>
          </cell>
          <cell r="F464" t="str">
            <v>01.0020</v>
          </cell>
          <cell r="G464">
            <v>45972</v>
          </cell>
          <cell r="H464" t="str">
            <v>01.0020</v>
          </cell>
          <cell r="I464" t="str">
            <v>לוונשטיין טכנולוגיות בע"מ</v>
          </cell>
          <cell r="J464">
            <v>0.50229999999999997</v>
          </cell>
          <cell r="K464" t="str">
            <v>₪</v>
          </cell>
          <cell r="L464">
            <v>2000</v>
          </cell>
          <cell r="M464" t="str">
            <v>יח'</v>
          </cell>
          <cell r="N464">
            <v>1004.5999999999999</v>
          </cell>
        </row>
        <row r="465">
          <cell r="B465" t="str">
            <v>MS122119, INSERT, HELICAL, 8-32 X 1.5D</v>
          </cell>
          <cell r="C465">
            <v>36208</v>
          </cell>
          <cell r="D465">
            <v>1</v>
          </cell>
          <cell r="E465" t="str">
            <v>קשיח</v>
          </cell>
          <cell r="F465" t="str">
            <v>01.0020</v>
          </cell>
          <cell r="G465">
            <v>45314</v>
          </cell>
          <cell r="H465" t="str">
            <v>01.0020</v>
          </cell>
          <cell r="I465" t="str">
            <v>לוונשטיין טכנולוגיות בע"מ</v>
          </cell>
          <cell r="J465">
            <v>0.50770000000000004</v>
          </cell>
          <cell r="K465" t="str">
            <v>₪</v>
          </cell>
          <cell r="M465" t="str">
            <v>יח'</v>
          </cell>
        </row>
        <row r="466">
          <cell r="B466" t="str">
            <v>MS122119, INSERT, HELICAL, 8-32 X 1.5D</v>
          </cell>
          <cell r="C466">
            <v>34532</v>
          </cell>
          <cell r="D466">
            <v>2</v>
          </cell>
          <cell r="E466" t="str">
            <v>קשיח</v>
          </cell>
          <cell r="F466" t="str">
            <v>01.0020</v>
          </cell>
          <cell r="G466">
            <v>45125</v>
          </cell>
          <cell r="H466" t="str">
            <v>01.0020</v>
          </cell>
          <cell r="I466" t="str">
            <v>לוונשטיין טכנולוגיות בע"מ</v>
          </cell>
          <cell r="J466">
            <v>0.50490000000000002</v>
          </cell>
          <cell r="K466" t="str">
            <v>₪</v>
          </cell>
          <cell r="L466">
            <v>2000</v>
          </cell>
          <cell r="M466" t="str">
            <v>יח'</v>
          </cell>
          <cell r="N466">
            <v>1009.8000000000001</v>
          </cell>
        </row>
        <row r="467">
          <cell r="B467" t="str">
            <v>MS122119, INSERT, HELICAL, 8-32 X 1.5D</v>
          </cell>
          <cell r="C467">
            <v>34441</v>
          </cell>
          <cell r="D467">
            <v>1</v>
          </cell>
          <cell r="E467" t="str">
            <v>קשיח</v>
          </cell>
          <cell r="F467" t="str">
            <v>01.0020</v>
          </cell>
          <cell r="G467">
            <v>45116</v>
          </cell>
          <cell r="H467" t="str">
            <v>01.0020</v>
          </cell>
          <cell r="I467" t="str">
            <v>לוונשטיין טכנולוגיות בע"מ</v>
          </cell>
          <cell r="J467">
            <v>0.50139999999999996</v>
          </cell>
          <cell r="K467" t="str">
            <v>₪</v>
          </cell>
          <cell r="L467">
            <v>3000</v>
          </cell>
          <cell r="M467" t="str">
            <v>יח'</v>
          </cell>
          <cell r="N467">
            <v>1504.1999999999998</v>
          </cell>
        </row>
        <row r="468">
          <cell r="B468" t="str">
            <v>MS122119, INSERT, HELICAL, 8-32 X 1.5D</v>
          </cell>
          <cell r="C468">
            <v>34247</v>
          </cell>
          <cell r="D468">
            <v>1</v>
          </cell>
          <cell r="E468" t="str">
            <v>קשיח</v>
          </cell>
          <cell r="F468" t="str">
            <v>01.0020</v>
          </cell>
          <cell r="G468">
            <v>45096</v>
          </cell>
          <cell r="H468" t="str">
            <v>01.0020</v>
          </cell>
          <cell r="I468" t="str">
            <v>לוונשטיין טכנולוגיות בע"מ</v>
          </cell>
          <cell r="J468">
            <v>0.49880000000000002</v>
          </cell>
          <cell r="K468" t="str">
            <v>₪</v>
          </cell>
          <cell r="L468">
            <v>2000</v>
          </cell>
          <cell r="M468" t="str">
            <v>יח'</v>
          </cell>
          <cell r="N468">
            <v>997.6</v>
          </cell>
        </row>
        <row r="469">
          <cell r="B469" t="str">
            <v>MS122119, INSERT, HELICAL, 8-32 X 1.5D</v>
          </cell>
          <cell r="C469">
            <v>32060</v>
          </cell>
          <cell r="D469">
            <v>1</v>
          </cell>
          <cell r="E469" t="str">
            <v>קשיח</v>
          </cell>
          <cell r="F469" t="str">
            <v>01.0020</v>
          </cell>
          <cell r="G469">
            <v>44770</v>
          </cell>
          <cell r="H469" t="str">
            <v>01.0020</v>
          </cell>
          <cell r="I469" t="str">
            <v>לוונשטיין טכנולוגיות בע"מ</v>
          </cell>
          <cell r="J469">
            <v>0.499</v>
          </cell>
          <cell r="K469" t="str">
            <v>₪</v>
          </cell>
          <cell r="L469">
            <v>2000</v>
          </cell>
          <cell r="M469" t="str">
            <v>יח'</v>
          </cell>
          <cell r="N469">
            <v>998</v>
          </cell>
        </row>
        <row r="470">
          <cell r="B470" t="str">
            <v>MS122119, INSERT, HELICAL, 8-32 X 1.5D</v>
          </cell>
          <cell r="C470">
            <v>31796</v>
          </cell>
          <cell r="D470">
            <v>1</v>
          </cell>
          <cell r="E470" t="str">
            <v>קשיח</v>
          </cell>
          <cell r="F470" t="str">
            <v>01.0020</v>
          </cell>
          <cell r="G470">
            <v>44731</v>
          </cell>
          <cell r="H470" t="str">
            <v>01.0020</v>
          </cell>
          <cell r="I470" t="str">
            <v>לוונשטיין טכנולוגיות בע"מ</v>
          </cell>
          <cell r="J470">
            <v>0.50170000000000003</v>
          </cell>
          <cell r="K470" t="str">
            <v>₪</v>
          </cell>
          <cell r="L470">
            <v>2000</v>
          </cell>
          <cell r="M470" t="str">
            <v>יח'</v>
          </cell>
          <cell r="N470">
            <v>1003.4000000000001</v>
          </cell>
        </row>
        <row r="471">
          <cell r="B471" t="str">
            <v>MS122119, INSERT, HELICAL, 8-32 X 1.5D</v>
          </cell>
          <cell r="C471">
            <v>31234</v>
          </cell>
          <cell r="D471">
            <v>1</v>
          </cell>
          <cell r="E471" t="str">
            <v>קשיח</v>
          </cell>
          <cell r="F471" t="str">
            <v>01.0020</v>
          </cell>
          <cell r="G471">
            <v>44654</v>
          </cell>
          <cell r="H471" t="str">
            <v>01.0020</v>
          </cell>
          <cell r="I471" t="str">
            <v>לוונשטיין טכנולוגיות בע"מ</v>
          </cell>
          <cell r="J471">
            <v>0.50219999999999998</v>
          </cell>
          <cell r="K471" t="str">
            <v>₪</v>
          </cell>
          <cell r="L471">
            <v>2000</v>
          </cell>
          <cell r="M471" t="str">
            <v>יח'</v>
          </cell>
          <cell r="N471">
            <v>1004.4</v>
          </cell>
        </row>
        <row r="472">
          <cell r="B472" t="str">
            <v>MS122119, INSERT, HELICAL, 8-32 X 1.5D</v>
          </cell>
          <cell r="C472">
            <v>30649</v>
          </cell>
          <cell r="D472">
            <v>1</v>
          </cell>
          <cell r="E472" t="str">
            <v>קשיח</v>
          </cell>
          <cell r="F472" t="str">
            <v>01.0020</v>
          </cell>
          <cell r="G472">
            <v>44577</v>
          </cell>
          <cell r="H472" t="str">
            <v>01.0020</v>
          </cell>
          <cell r="I472" t="str">
            <v>לוונשטיין טכנולוגיות בע"מ</v>
          </cell>
          <cell r="J472">
            <v>0.49990000000000001</v>
          </cell>
          <cell r="K472" t="str">
            <v>₪</v>
          </cell>
          <cell r="L472">
            <v>2000</v>
          </cell>
          <cell r="M472" t="str">
            <v>יח'</v>
          </cell>
          <cell r="N472">
            <v>999.80000000000007</v>
          </cell>
        </row>
        <row r="473">
          <cell r="B473" t="str">
            <v>MS122119, INSERT, HELICAL, 8-32 X 1.5D</v>
          </cell>
          <cell r="C473">
            <v>30240</v>
          </cell>
          <cell r="D473">
            <v>1</v>
          </cell>
          <cell r="E473" t="str">
            <v>קשיח</v>
          </cell>
          <cell r="F473" t="str">
            <v>01.0020</v>
          </cell>
          <cell r="G473">
            <v>44518</v>
          </cell>
          <cell r="H473" t="str">
            <v>01.0020</v>
          </cell>
          <cell r="I473" t="str">
            <v>לוונשטיין טכנולוגיות בע"מ</v>
          </cell>
          <cell r="J473">
            <v>0.5</v>
          </cell>
          <cell r="K473" t="str">
            <v>₪</v>
          </cell>
          <cell r="L473">
            <v>2000</v>
          </cell>
          <cell r="M473" t="str">
            <v>יח'</v>
          </cell>
          <cell r="N473">
            <v>1000</v>
          </cell>
        </row>
        <row r="474">
          <cell r="B474" t="str">
            <v>MS122119, INSERT, HELICAL, 8-32 X 1.5D</v>
          </cell>
          <cell r="C474">
            <v>29832</v>
          </cell>
          <cell r="D474">
            <v>1</v>
          </cell>
          <cell r="E474" t="str">
            <v>קשיח</v>
          </cell>
          <cell r="F474" t="str">
            <v>01.0020</v>
          </cell>
          <cell r="G474">
            <v>44468</v>
          </cell>
          <cell r="H474" t="str">
            <v>01.0020</v>
          </cell>
          <cell r="I474" t="str">
            <v>דר טכנולוגיות בע"מ</v>
          </cell>
          <cell r="J474">
            <v>0.46039999999999998</v>
          </cell>
          <cell r="K474" t="str">
            <v>₪</v>
          </cell>
          <cell r="L474">
            <v>3000</v>
          </cell>
          <cell r="M474" t="str">
            <v>יח'</v>
          </cell>
          <cell r="N474">
            <v>1381.1999999999998</v>
          </cell>
        </row>
        <row r="475">
          <cell r="B475" t="str">
            <v>MS122119, INSERT, HELICAL, 8-32 X 1.5D</v>
          </cell>
          <cell r="C475">
            <v>25663</v>
          </cell>
          <cell r="D475">
            <v>1</v>
          </cell>
          <cell r="E475" t="str">
            <v>קשיח</v>
          </cell>
          <cell r="F475" t="str">
            <v>01.0020</v>
          </cell>
          <cell r="G475">
            <v>43879</v>
          </cell>
          <cell r="H475" t="str">
            <v>01.0020</v>
          </cell>
          <cell r="I475" t="str">
            <v>דר טכנולוגיות בע"מ</v>
          </cell>
          <cell r="J475">
            <v>0.46</v>
          </cell>
          <cell r="K475" t="str">
            <v>₪</v>
          </cell>
          <cell r="L475">
            <v>1000</v>
          </cell>
          <cell r="M475" t="str">
            <v>יח'</v>
          </cell>
          <cell r="N475">
            <v>460</v>
          </cell>
        </row>
        <row r="476">
          <cell r="B476" t="str">
            <v>MS122119, INSERT, HELICAL, 8-32 X 1.5D</v>
          </cell>
          <cell r="C476">
            <v>25651</v>
          </cell>
          <cell r="D476">
            <v>1</v>
          </cell>
          <cell r="E476" t="str">
            <v>קשיח</v>
          </cell>
          <cell r="F476" t="str">
            <v>01.0020</v>
          </cell>
          <cell r="G476">
            <v>43878</v>
          </cell>
          <cell r="H476" t="str">
            <v>01.0020</v>
          </cell>
          <cell r="I476" t="str">
            <v>דר טכנולוגיות בע"מ</v>
          </cell>
          <cell r="J476">
            <v>0.45979999999999999</v>
          </cell>
          <cell r="K476" t="str">
            <v>₪</v>
          </cell>
          <cell r="L476">
            <v>1000</v>
          </cell>
          <cell r="M476" t="str">
            <v>יח'</v>
          </cell>
          <cell r="N476">
            <v>459.8</v>
          </cell>
        </row>
        <row r="477">
          <cell r="B477" t="str">
            <v>MS122119, INSERT, HELICAL, 8-32 X 1.5D</v>
          </cell>
          <cell r="C477">
            <v>25447</v>
          </cell>
          <cell r="D477">
            <v>1</v>
          </cell>
          <cell r="E477" t="str">
            <v>קשיח</v>
          </cell>
          <cell r="F477" t="str">
            <v>01.0020</v>
          </cell>
          <cell r="G477">
            <v>43844</v>
          </cell>
          <cell r="H477" t="str">
            <v>01.0020</v>
          </cell>
          <cell r="I477" t="str">
            <v>דר טכנולוגיות בע"מ</v>
          </cell>
          <cell r="J477">
            <v>0.45979999999999999</v>
          </cell>
          <cell r="K477" t="str">
            <v>₪</v>
          </cell>
          <cell r="L477">
            <v>1000</v>
          </cell>
          <cell r="M477" t="str">
            <v>יח'</v>
          </cell>
          <cell r="N477">
            <v>459.8</v>
          </cell>
        </row>
        <row r="478">
          <cell r="B478" t="str">
            <v>MS122119, INSERT, HELICAL, 8-32 X 1.5D</v>
          </cell>
          <cell r="C478">
            <v>24160</v>
          </cell>
          <cell r="D478">
            <v>1</v>
          </cell>
          <cell r="E478" t="str">
            <v>קשיח</v>
          </cell>
          <cell r="F478" t="str">
            <v>01.0020</v>
          </cell>
          <cell r="G478">
            <v>43650</v>
          </cell>
          <cell r="H478" t="str">
            <v>01.0020</v>
          </cell>
          <cell r="I478" t="str">
            <v>דר טכנולוגיות בע"מ</v>
          </cell>
          <cell r="J478">
            <v>0.46</v>
          </cell>
          <cell r="K478" t="str">
            <v>₪</v>
          </cell>
          <cell r="L478">
            <v>1000</v>
          </cell>
          <cell r="M478" t="str">
            <v>יח'</v>
          </cell>
          <cell r="N478">
            <v>460</v>
          </cell>
        </row>
        <row r="479">
          <cell r="B479" t="str">
            <v>MS122119, INSERT, HELICAL, 8-32 X 1.5D</v>
          </cell>
          <cell r="C479">
            <v>23245</v>
          </cell>
          <cell r="D479">
            <v>2</v>
          </cell>
          <cell r="E479" t="str">
            <v>קשיח</v>
          </cell>
          <cell r="F479" t="str">
            <v>01.0020</v>
          </cell>
          <cell r="G479">
            <v>43541</v>
          </cell>
          <cell r="H479" t="str">
            <v>01.0020</v>
          </cell>
          <cell r="I479" t="str">
            <v>ברמיל בע"מ</v>
          </cell>
          <cell r="J479">
            <v>0.45</v>
          </cell>
          <cell r="K479" t="str">
            <v>₪</v>
          </cell>
          <cell r="L479">
            <v>1000</v>
          </cell>
          <cell r="M479" t="str">
            <v>יח'</v>
          </cell>
          <cell r="N479">
            <v>450</v>
          </cell>
        </row>
        <row r="480">
          <cell r="B480" t="str">
            <v>MS124655, INSERT, HELICAL, 10-32 X 1D (STRIP)</v>
          </cell>
          <cell r="C480">
            <v>44839</v>
          </cell>
          <cell r="D480">
            <v>1</v>
          </cell>
          <cell r="E480" t="str">
            <v>קשיח</v>
          </cell>
          <cell r="F480" t="str">
            <v>01.0021</v>
          </cell>
          <cell r="G480">
            <v>46068</v>
          </cell>
          <cell r="H480" t="str">
            <v>01.0021</v>
          </cell>
          <cell r="I480" t="str">
            <v>דר טכנולוגיות בע"מ</v>
          </cell>
          <cell r="J480">
            <v>0.45</v>
          </cell>
          <cell r="K480" t="str">
            <v>₪</v>
          </cell>
          <cell r="L480">
            <v>1000</v>
          </cell>
          <cell r="M480" t="str">
            <v>יח'</v>
          </cell>
          <cell r="N480">
            <v>450</v>
          </cell>
        </row>
        <row r="481">
          <cell r="B481" t="str">
            <v>MS124655, INSERT, HELICAL, 10-32 X 1D (STRIP)</v>
          </cell>
          <cell r="C481">
            <v>41723</v>
          </cell>
          <cell r="D481">
            <v>1</v>
          </cell>
          <cell r="E481" t="str">
            <v>קשיח</v>
          </cell>
          <cell r="F481" t="str">
            <v>01.0021</v>
          </cell>
          <cell r="G481">
            <v>45875</v>
          </cell>
          <cell r="H481" t="str">
            <v>01.0021</v>
          </cell>
          <cell r="I481" t="str">
            <v>דר טכנולוגיות בע"מ</v>
          </cell>
          <cell r="J481">
            <v>0.45</v>
          </cell>
          <cell r="K481" t="str">
            <v>₪</v>
          </cell>
          <cell r="L481">
            <v>1000</v>
          </cell>
          <cell r="M481" t="str">
            <v>יח'</v>
          </cell>
          <cell r="N481">
            <v>450</v>
          </cell>
        </row>
        <row r="482">
          <cell r="B482" t="str">
            <v>MS124655, INSERT, HELICAL, 10-32 X 1D (STRIP)</v>
          </cell>
          <cell r="C482">
            <v>38911</v>
          </cell>
          <cell r="D482">
            <v>1</v>
          </cell>
          <cell r="E482" t="str">
            <v>קשיח</v>
          </cell>
          <cell r="F482" t="str">
            <v>01.0021</v>
          </cell>
          <cell r="G482">
            <v>45621</v>
          </cell>
          <cell r="H482" t="str">
            <v>01.0021</v>
          </cell>
          <cell r="I482" t="str">
            <v>לוונשטיין טכנולוגיות בע"מ</v>
          </cell>
          <cell r="J482">
            <v>0.48020000000000002</v>
          </cell>
          <cell r="K482" t="str">
            <v>₪</v>
          </cell>
          <cell r="L482">
            <v>1000</v>
          </cell>
          <cell r="M482" t="str">
            <v>יח'</v>
          </cell>
          <cell r="N482">
            <v>480.2</v>
          </cell>
        </row>
        <row r="483">
          <cell r="B483" t="str">
            <v>MS124655, INSERT, HELICAL, 10-32 X 1D (STRIP)</v>
          </cell>
          <cell r="C483">
            <v>34193</v>
          </cell>
          <cell r="D483">
            <v>1</v>
          </cell>
          <cell r="E483" t="str">
            <v>קשיח</v>
          </cell>
          <cell r="F483" t="str">
            <v>01.0021</v>
          </cell>
          <cell r="G483">
            <v>45090</v>
          </cell>
          <cell r="H483" t="str">
            <v>01.0021</v>
          </cell>
          <cell r="I483" t="str">
            <v>דר טכנולוגיות בע"מ</v>
          </cell>
          <cell r="J483">
            <v>0.48</v>
          </cell>
          <cell r="K483" t="str">
            <v>₪</v>
          </cell>
          <cell r="L483">
            <v>2000</v>
          </cell>
          <cell r="M483" t="str">
            <v>יח'</v>
          </cell>
          <cell r="N483">
            <v>960</v>
          </cell>
        </row>
        <row r="484">
          <cell r="B484" t="str">
            <v>MS124655, INSERT, HELICAL, 10-32 X 1D (STRIP)</v>
          </cell>
          <cell r="C484">
            <v>34087</v>
          </cell>
          <cell r="D484">
            <v>1</v>
          </cell>
          <cell r="E484" t="str">
            <v>קשיח</v>
          </cell>
          <cell r="F484" t="str">
            <v>01.0021</v>
          </cell>
          <cell r="G484">
            <v>45077</v>
          </cell>
          <cell r="H484" t="str">
            <v>01.0021</v>
          </cell>
          <cell r="I484" t="str">
            <v>דר טכנולוגיות בע"מ</v>
          </cell>
          <cell r="J484">
            <v>0.48</v>
          </cell>
          <cell r="K484" t="str">
            <v>₪</v>
          </cell>
          <cell r="L484">
            <v>1000</v>
          </cell>
          <cell r="M484" t="str">
            <v>יח'</v>
          </cell>
          <cell r="N484">
            <v>480</v>
          </cell>
        </row>
        <row r="485">
          <cell r="B485" t="str">
            <v>MS124655, INSERT, HELICAL, 10-32 X 1D (STRIP)</v>
          </cell>
          <cell r="C485">
            <v>29007</v>
          </cell>
          <cell r="D485">
            <v>2</v>
          </cell>
          <cell r="E485" t="str">
            <v>קשיח</v>
          </cell>
          <cell r="F485" t="str">
            <v>01.0021</v>
          </cell>
          <cell r="G485">
            <v>44353</v>
          </cell>
          <cell r="H485" t="str">
            <v>01.0021</v>
          </cell>
          <cell r="I485" t="str">
            <v>דר טכנולוגיות בע"מ</v>
          </cell>
          <cell r="J485">
            <v>0.48039999999999999</v>
          </cell>
          <cell r="K485" t="str">
            <v>₪</v>
          </cell>
          <cell r="L485">
            <v>1000</v>
          </cell>
          <cell r="M485" t="str">
            <v>יח'</v>
          </cell>
          <cell r="N485">
            <v>480.4</v>
          </cell>
        </row>
        <row r="486">
          <cell r="B486" t="str">
            <v>MS124655, INSERT, HELICAL, 10-32 X 1D (STRIP)</v>
          </cell>
          <cell r="C486">
            <v>28800</v>
          </cell>
          <cell r="D486">
            <v>1</v>
          </cell>
          <cell r="E486" t="str">
            <v>קשיח</v>
          </cell>
          <cell r="F486" t="str">
            <v>01.0021</v>
          </cell>
          <cell r="G486">
            <v>44326</v>
          </cell>
          <cell r="H486" t="str">
            <v>01.0021</v>
          </cell>
          <cell r="I486" t="str">
            <v>דר טכנולוגיות בע"מ</v>
          </cell>
          <cell r="J486">
            <v>0.45</v>
          </cell>
          <cell r="K486" t="str">
            <v>₪</v>
          </cell>
          <cell r="L486">
            <v>1000</v>
          </cell>
          <cell r="M486" t="str">
            <v>יח'</v>
          </cell>
          <cell r="N486">
            <v>450</v>
          </cell>
        </row>
        <row r="487">
          <cell r="B487" t="str">
            <v>MS124655, INSERT, HELICAL, 10-32 X 1D (STRIP)</v>
          </cell>
          <cell r="C487">
            <v>28801</v>
          </cell>
          <cell r="D487">
            <v>1</v>
          </cell>
          <cell r="E487" t="str">
            <v>קשיח</v>
          </cell>
          <cell r="F487" t="str">
            <v>01.0021</v>
          </cell>
          <cell r="G487">
            <v>44326</v>
          </cell>
          <cell r="H487" t="str">
            <v>01.0021</v>
          </cell>
          <cell r="I487" t="str">
            <v>דר טכנולוגיות בע"מ</v>
          </cell>
          <cell r="J487">
            <v>0.48</v>
          </cell>
          <cell r="K487" t="str">
            <v>₪</v>
          </cell>
          <cell r="L487">
            <v>1000</v>
          </cell>
          <cell r="M487" t="str">
            <v>יח'</v>
          </cell>
          <cell r="N487">
            <v>480</v>
          </cell>
        </row>
        <row r="488">
          <cell r="B488" t="str">
            <v>MS124655, INSERT, HELICAL, 10-32 X 1D (STRIP)</v>
          </cell>
          <cell r="C488">
            <v>25910</v>
          </cell>
          <cell r="D488">
            <v>2</v>
          </cell>
          <cell r="E488" t="str">
            <v>קשיח</v>
          </cell>
          <cell r="F488" t="str">
            <v>01.0021</v>
          </cell>
          <cell r="G488">
            <v>43915</v>
          </cell>
          <cell r="H488" t="str">
            <v>01.0021</v>
          </cell>
          <cell r="I488" t="str">
            <v>ברמיל בע"מ</v>
          </cell>
          <cell r="J488">
            <v>0.45</v>
          </cell>
          <cell r="K488" t="str">
            <v>₪</v>
          </cell>
          <cell r="L488">
            <v>1000</v>
          </cell>
          <cell r="M488" t="str">
            <v>יח'</v>
          </cell>
          <cell r="N488">
            <v>450</v>
          </cell>
        </row>
        <row r="489">
          <cell r="B489" t="str">
            <v>MS124655, INSERT, HELICAL, 10-32 X 1D (STRIP)</v>
          </cell>
          <cell r="C489">
            <v>24627</v>
          </cell>
          <cell r="D489">
            <v>1</v>
          </cell>
          <cell r="E489" t="str">
            <v>קשיח</v>
          </cell>
          <cell r="F489" t="str">
            <v>01.0021</v>
          </cell>
          <cell r="G489">
            <v>43712</v>
          </cell>
          <cell r="H489" t="str">
            <v>01.0021</v>
          </cell>
          <cell r="I489" t="str">
            <v>דר טכנולוגיות בע"מ</v>
          </cell>
          <cell r="J489">
            <v>0.48159999999999997</v>
          </cell>
          <cell r="K489" t="str">
            <v>₪</v>
          </cell>
          <cell r="L489">
            <v>1000</v>
          </cell>
          <cell r="M489" t="str">
            <v>יח'</v>
          </cell>
          <cell r="N489">
            <v>481.59999999999997</v>
          </cell>
        </row>
        <row r="490">
          <cell r="B490" t="str">
            <v>MS124656, INSERT, HELICAL, 1/4-28 X 1D</v>
          </cell>
          <cell r="C490">
            <v>44631</v>
          </cell>
          <cell r="D490">
            <v>2</v>
          </cell>
          <cell r="E490" t="str">
            <v>קשיח</v>
          </cell>
          <cell r="F490" t="str">
            <v>01.0022</v>
          </cell>
          <cell r="G490">
            <v>46049</v>
          </cell>
          <cell r="H490" t="str">
            <v>01.0022</v>
          </cell>
          <cell r="I490" t="str">
            <v>דר טכנולוגיות בע"מ</v>
          </cell>
          <cell r="J490">
            <v>0.65</v>
          </cell>
          <cell r="K490" t="str">
            <v>₪</v>
          </cell>
          <cell r="L490">
            <v>100</v>
          </cell>
          <cell r="M490" t="str">
            <v>יח'</v>
          </cell>
          <cell r="N490">
            <v>65</v>
          </cell>
        </row>
        <row r="491">
          <cell r="B491" t="str">
            <v>MS124656, INSERT, HELICAL, 1/4-28 X 1D</v>
          </cell>
          <cell r="C491">
            <v>44454</v>
          </cell>
          <cell r="D491">
            <v>3</v>
          </cell>
          <cell r="E491" t="str">
            <v>קשיח</v>
          </cell>
          <cell r="F491" t="str">
            <v>01.0022</v>
          </cell>
          <cell r="G491">
            <v>46037</v>
          </cell>
          <cell r="H491" t="str">
            <v>01.0022</v>
          </cell>
          <cell r="I491" t="str">
            <v>לוונשטיין טכנולוגיות בע"מ</v>
          </cell>
          <cell r="J491">
            <v>0.70009999999999994</v>
          </cell>
          <cell r="K491" t="str">
            <v>₪</v>
          </cell>
          <cell r="L491">
            <v>1000</v>
          </cell>
          <cell r="M491" t="str">
            <v>יח'</v>
          </cell>
          <cell r="N491">
            <v>700.09999999999991</v>
          </cell>
        </row>
        <row r="492">
          <cell r="B492" t="str">
            <v>MS124656, INSERT, HELICAL, 1/4-28 X 1D</v>
          </cell>
          <cell r="C492">
            <v>42352</v>
          </cell>
          <cell r="D492">
            <v>3</v>
          </cell>
          <cell r="E492" t="str">
            <v>קשיח</v>
          </cell>
          <cell r="F492" t="str">
            <v>01.0022</v>
          </cell>
          <cell r="G492">
            <v>45945</v>
          </cell>
          <cell r="H492" t="str">
            <v>01.0022</v>
          </cell>
          <cell r="I492" t="str">
            <v>לוונשטיין טכנולוגיות בע"מ</v>
          </cell>
          <cell r="J492">
            <v>0.70009999999999994</v>
          </cell>
          <cell r="K492" t="str">
            <v>₪</v>
          </cell>
          <cell r="L492">
            <v>1000</v>
          </cell>
          <cell r="M492" t="str">
            <v>יח'</v>
          </cell>
          <cell r="N492">
            <v>700.09999999999991</v>
          </cell>
        </row>
        <row r="493">
          <cell r="B493" t="str">
            <v>MS124656, INSERT, HELICAL, 1/4-28 X 1D</v>
          </cell>
          <cell r="C493">
            <v>39776</v>
          </cell>
          <cell r="D493">
            <v>3</v>
          </cell>
          <cell r="E493" t="str">
            <v>קשיח</v>
          </cell>
          <cell r="F493" t="str">
            <v>01.0022</v>
          </cell>
          <cell r="G493">
            <v>45698</v>
          </cell>
          <cell r="H493" t="str">
            <v>01.0022</v>
          </cell>
          <cell r="I493" t="str">
            <v>לוונשטיין טכנולוגיות בע"מ</v>
          </cell>
          <cell r="J493">
            <v>0.70009999999999994</v>
          </cell>
          <cell r="K493" t="str">
            <v>₪</v>
          </cell>
          <cell r="L493">
            <v>1000</v>
          </cell>
          <cell r="M493" t="str">
            <v>יח'</v>
          </cell>
          <cell r="N493">
            <v>700.09999999999991</v>
          </cell>
        </row>
        <row r="494">
          <cell r="B494" t="str">
            <v>MS124656, INSERT, HELICAL, 1/4-28 X 1D</v>
          </cell>
          <cell r="C494">
            <v>39756</v>
          </cell>
          <cell r="D494">
            <v>1</v>
          </cell>
          <cell r="E494" t="str">
            <v>קשיח</v>
          </cell>
          <cell r="F494" t="str">
            <v>01.0022</v>
          </cell>
          <cell r="G494">
            <v>45697</v>
          </cell>
          <cell r="H494" t="str">
            <v>01.0022</v>
          </cell>
          <cell r="I494" t="str">
            <v>לוונשטיין טכנולוגיות בע"מ</v>
          </cell>
          <cell r="J494">
            <v>0.7</v>
          </cell>
          <cell r="K494" t="str">
            <v>₪</v>
          </cell>
          <cell r="L494">
            <v>1000</v>
          </cell>
          <cell r="M494" t="str">
            <v>יח'</v>
          </cell>
          <cell r="N494">
            <v>700</v>
          </cell>
        </row>
        <row r="495">
          <cell r="B495" t="str">
            <v>MS124656, INSERT, HELICAL, 1/4-28 X 1D</v>
          </cell>
          <cell r="C495">
            <v>34219</v>
          </cell>
          <cell r="D495">
            <v>1</v>
          </cell>
          <cell r="E495" t="str">
            <v>קשיח</v>
          </cell>
          <cell r="F495" t="str">
            <v>01.0022</v>
          </cell>
          <cell r="G495">
            <v>45092</v>
          </cell>
          <cell r="H495" t="str">
            <v>01.0022</v>
          </cell>
          <cell r="I495" t="str">
            <v>דר טכנולוגיות בע"מ</v>
          </cell>
          <cell r="J495">
            <v>0.51</v>
          </cell>
          <cell r="K495" t="str">
            <v>₪</v>
          </cell>
          <cell r="L495">
            <v>1000</v>
          </cell>
          <cell r="M495" t="str">
            <v>יח'</v>
          </cell>
          <cell r="N495">
            <v>510</v>
          </cell>
        </row>
        <row r="496">
          <cell r="B496" t="str">
            <v>MS124656, INSERT, HELICAL, 1/4-28 X 1D</v>
          </cell>
          <cell r="C496">
            <v>12550</v>
          </cell>
          <cell r="D496">
            <v>1</v>
          </cell>
          <cell r="E496" t="str">
            <v>קשיח</v>
          </cell>
          <cell r="F496" t="str">
            <v>01.0022</v>
          </cell>
          <cell r="G496">
            <v>42565</v>
          </cell>
          <cell r="H496" t="str">
            <v>01.0022</v>
          </cell>
          <cell r="I496" t="str">
            <v>גין מהנדסים בע"מ</v>
          </cell>
          <cell r="J496">
            <v>0.50209999999999999</v>
          </cell>
          <cell r="K496" t="str">
            <v>₪</v>
          </cell>
          <cell r="M496" t="str">
            <v>יח'</v>
          </cell>
        </row>
        <row r="497">
          <cell r="B497" t="str">
            <v>MS124695, INSERT, HELICOIL, 10-32 X 1.5D BOLLHOFF</v>
          </cell>
          <cell r="C497">
            <v>44908</v>
          </cell>
          <cell r="D497">
            <v>1</v>
          </cell>
          <cell r="E497" t="str">
            <v>קשיח</v>
          </cell>
          <cell r="F497" t="str">
            <v>01.0023</v>
          </cell>
          <cell r="G497">
            <v>46076.421540358795</v>
          </cell>
          <cell r="H497" t="str">
            <v>01.0023</v>
          </cell>
          <cell r="I497" t="str">
            <v>גין מהנדסים בע"מ</v>
          </cell>
          <cell r="J497">
            <v>0.48</v>
          </cell>
          <cell r="K497" t="str">
            <v>₪</v>
          </cell>
          <cell r="L497">
            <v>2000</v>
          </cell>
          <cell r="M497" t="str">
            <v>יח'</v>
          </cell>
          <cell r="N497">
            <v>960</v>
          </cell>
        </row>
        <row r="498">
          <cell r="B498" t="str">
            <v>MS124695, INSERT, HELICAL, 10-32 X 1.5D</v>
          </cell>
          <cell r="C498">
            <v>44706</v>
          </cell>
          <cell r="D498">
            <v>1</v>
          </cell>
          <cell r="E498" t="str">
            <v>קשיח</v>
          </cell>
          <cell r="F498" t="str">
            <v>01.0023</v>
          </cell>
          <cell r="G498">
            <v>46054</v>
          </cell>
          <cell r="H498" t="str">
            <v>01.0023</v>
          </cell>
          <cell r="I498" t="str">
            <v>גין מהנדסים בע"מ</v>
          </cell>
          <cell r="J498">
            <v>0.38</v>
          </cell>
          <cell r="K498" t="str">
            <v>₪</v>
          </cell>
          <cell r="L498">
            <v>1000</v>
          </cell>
          <cell r="M498" t="str">
            <v>יח'</v>
          </cell>
          <cell r="N498">
            <v>380</v>
          </cell>
        </row>
        <row r="499">
          <cell r="B499" t="str">
            <v>MS124695, INSERT, HELICAL, 10-32 X 1.5D</v>
          </cell>
          <cell r="C499">
            <v>44452</v>
          </cell>
          <cell r="D499">
            <v>1</v>
          </cell>
          <cell r="E499" t="str">
            <v>קשיח</v>
          </cell>
          <cell r="F499" t="str">
            <v>01.0023</v>
          </cell>
          <cell r="G499">
            <v>46037</v>
          </cell>
          <cell r="H499" t="str">
            <v>01.0023</v>
          </cell>
          <cell r="I499" t="str">
            <v>גין מהנדסים בע"מ</v>
          </cell>
          <cell r="J499">
            <v>0.38</v>
          </cell>
          <cell r="K499" t="str">
            <v>₪</v>
          </cell>
          <cell r="L499">
            <v>1000</v>
          </cell>
          <cell r="M499" t="str">
            <v>יח'</v>
          </cell>
          <cell r="N499">
            <v>380</v>
          </cell>
        </row>
        <row r="500">
          <cell r="B500" t="str">
            <v>MS124695, INSERT, HELICAL, 10-32 X 1.5D</v>
          </cell>
          <cell r="C500">
            <v>43163</v>
          </cell>
          <cell r="D500">
            <v>17</v>
          </cell>
          <cell r="E500" t="str">
            <v>קשיח</v>
          </cell>
          <cell r="F500" t="str">
            <v>01.0023</v>
          </cell>
          <cell r="G500">
            <v>46013</v>
          </cell>
          <cell r="H500" t="str">
            <v>01.0023</v>
          </cell>
          <cell r="I500" t="str">
            <v>גין מהנדסים בע"מ</v>
          </cell>
          <cell r="J500">
            <v>0.38</v>
          </cell>
          <cell r="K500" t="str">
            <v>₪</v>
          </cell>
          <cell r="L500">
            <v>400</v>
          </cell>
          <cell r="M500" t="str">
            <v>יח'</v>
          </cell>
          <cell r="N500">
            <v>152</v>
          </cell>
        </row>
        <row r="501">
          <cell r="B501" t="str">
            <v>MS124695, INSERT, HELICAL, 10-32 X 1.5D</v>
          </cell>
          <cell r="C501">
            <v>42657</v>
          </cell>
          <cell r="D501">
            <v>1</v>
          </cell>
          <cell r="E501" t="str">
            <v>קשיח</v>
          </cell>
          <cell r="F501" t="str">
            <v>01.0023</v>
          </cell>
          <cell r="G501">
            <v>45972</v>
          </cell>
          <cell r="H501" t="str">
            <v>01.0023</v>
          </cell>
          <cell r="I501" t="str">
            <v>לוונשטיין טכנולוגיות בע"מ</v>
          </cell>
          <cell r="J501">
            <v>0.49809999999999999</v>
          </cell>
          <cell r="K501" t="str">
            <v>₪</v>
          </cell>
          <cell r="L501">
            <v>1000</v>
          </cell>
          <cell r="M501" t="str">
            <v>יח'</v>
          </cell>
          <cell r="N501">
            <v>498.09999999999997</v>
          </cell>
        </row>
        <row r="502">
          <cell r="B502" t="str">
            <v>MS124695, INSERT, HELICAL, 10-32 X 1.5D</v>
          </cell>
          <cell r="C502">
            <v>42658</v>
          </cell>
          <cell r="D502">
            <v>2</v>
          </cell>
          <cell r="E502" t="str">
            <v>קשיח</v>
          </cell>
          <cell r="F502" t="str">
            <v>01.0023</v>
          </cell>
          <cell r="G502">
            <v>45972</v>
          </cell>
          <cell r="H502" t="str">
            <v>01.0023</v>
          </cell>
          <cell r="I502" t="str">
            <v>דר טכנולוגיות בע"מ</v>
          </cell>
          <cell r="J502">
            <v>0.45</v>
          </cell>
          <cell r="K502" t="str">
            <v>₪</v>
          </cell>
          <cell r="L502">
            <v>2000</v>
          </cell>
          <cell r="M502" t="str">
            <v>יח'</v>
          </cell>
          <cell r="N502">
            <v>900</v>
          </cell>
        </row>
        <row r="503">
          <cell r="B503" t="str">
            <v>MS124695, INSERT, HELICAL, 10-32 X 1.5D</v>
          </cell>
          <cell r="C503">
            <v>39804</v>
          </cell>
          <cell r="D503">
            <v>1</v>
          </cell>
          <cell r="E503" t="str">
            <v>קשיח</v>
          </cell>
          <cell r="F503" t="str">
            <v>01.0023</v>
          </cell>
          <cell r="G503">
            <v>45700</v>
          </cell>
          <cell r="H503" t="str">
            <v>01.0023</v>
          </cell>
          <cell r="I503" t="str">
            <v>לוונשטיין טכנולוגיות בע"מ</v>
          </cell>
          <cell r="J503">
            <v>0.50339999999999996</v>
          </cell>
          <cell r="K503" t="str">
            <v>₪</v>
          </cell>
          <cell r="L503">
            <v>3000</v>
          </cell>
          <cell r="M503" t="str">
            <v>יח'</v>
          </cell>
          <cell r="N503">
            <v>1510.1999999999998</v>
          </cell>
        </row>
        <row r="504">
          <cell r="B504" t="str">
            <v>MS124695, INSERT, HELICAL, 10-32 X 1.5D</v>
          </cell>
          <cell r="C504">
            <v>39776</v>
          </cell>
          <cell r="D504">
            <v>4</v>
          </cell>
          <cell r="E504" t="str">
            <v>קשיח</v>
          </cell>
          <cell r="F504" t="str">
            <v>01.0023</v>
          </cell>
          <cell r="G504">
            <v>45698</v>
          </cell>
          <cell r="H504" t="str">
            <v>01.0023</v>
          </cell>
          <cell r="I504" t="str">
            <v>לוונשטיין טכנולוגיות בע"מ</v>
          </cell>
          <cell r="J504">
            <v>0.49980000000000002</v>
          </cell>
          <cell r="K504" t="str">
            <v>₪</v>
          </cell>
          <cell r="L504">
            <v>3000</v>
          </cell>
          <cell r="M504" t="str">
            <v>יח'</v>
          </cell>
          <cell r="N504">
            <v>1499.4</v>
          </cell>
        </row>
        <row r="505">
          <cell r="B505" t="str">
            <v>MS124695, INSERT, HELICAL, 10-32 X 1.5D</v>
          </cell>
          <cell r="C505">
            <v>39756</v>
          </cell>
          <cell r="D505">
            <v>2</v>
          </cell>
          <cell r="E505" t="str">
            <v>קשיח</v>
          </cell>
          <cell r="F505" t="str">
            <v>01.0023</v>
          </cell>
          <cell r="G505">
            <v>45697</v>
          </cell>
          <cell r="H505" t="str">
            <v>01.0023</v>
          </cell>
          <cell r="I505" t="str">
            <v>לוונשטיין טכנולוגיות בע"מ</v>
          </cell>
          <cell r="J505">
            <v>0.5</v>
          </cell>
          <cell r="K505" t="str">
            <v>₪</v>
          </cell>
          <cell r="L505">
            <v>3000</v>
          </cell>
          <cell r="M505" t="str">
            <v>יח'</v>
          </cell>
          <cell r="N505">
            <v>1500</v>
          </cell>
        </row>
        <row r="506">
          <cell r="B506" t="str">
            <v>MS124695, INSERT, HELICAL, 10-32 X 1.5D</v>
          </cell>
          <cell r="C506">
            <v>39622</v>
          </cell>
          <cell r="D506">
            <v>1</v>
          </cell>
          <cell r="E506" t="str">
            <v>קשיח</v>
          </cell>
          <cell r="F506" t="str">
            <v>01.0023</v>
          </cell>
          <cell r="G506">
            <v>45684</v>
          </cell>
          <cell r="H506" t="str">
            <v>01.0023</v>
          </cell>
          <cell r="I506" t="str">
            <v>לוונשטיין טכנולוגיות בע"מ</v>
          </cell>
          <cell r="J506">
            <v>0.50009999999999999</v>
          </cell>
          <cell r="K506" t="str">
            <v>₪</v>
          </cell>
          <cell r="L506">
            <v>1000</v>
          </cell>
          <cell r="M506" t="str">
            <v>יח'</v>
          </cell>
          <cell r="N506">
            <v>500.09999999999997</v>
          </cell>
        </row>
        <row r="507">
          <cell r="B507" t="str">
            <v>MS124695, INSERT, HELICAL, 10-32 X 1.5D</v>
          </cell>
          <cell r="C507">
            <v>39577</v>
          </cell>
          <cell r="D507">
            <v>1</v>
          </cell>
          <cell r="E507" t="str">
            <v>קשיח</v>
          </cell>
          <cell r="F507" t="str">
            <v>01.0023</v>
          </cell>
          <cell r="G507">
            <v>45680</v>
          </cell>
          <cell r="H507" t="str">
            <v>01.0023</v>
          </cell>
          <cell r="I507" t="str">
            <v>לוונשטיין טכנולוגיות בע"מ</v>
          </cell>
          <cell r="J507">
            <v>0.5</v>
          </cell>
          <cell r="K507" t="str">
            <v>₪</v>
          </cell>
          <cell r="L507">
            <v>2000</v>
          </cell>
          <cell r="M507" t="str">
            <v>יח'</v>
          </cell>
          <cell r="N507">
            <v>1000</v>
          </cell>
        </row>
        <row r="508">
          <cell r="B508" t="str">
            <v>MS124695, INSERT, HELICAL, 10-32 X 1.5D</v>
          </cell>
          <cell r="C508">
            <v>38943</v>
          </cell>
          <cell r="D508">
            <v>1</v>
          </cell>
          <cell r="E508" t="str">
            <v>קשיח</v>
          </cell>
          <cell r="F508" t="str">
            <v>01.0023</v>
          </cell>
          <cell r="G508">
            <v>45622</v>
          </cell>
          <cell r="H508" t="str">
            <v>01.0023</v>
          </cell>
          <cell r="I508" t="str">
            <v>לוונשטיין טכנולוגיות בע"מ</v>
          </cell>
          <cell r="J508">
            <v>0.49559999999999998</v>
          </cell>
          <cell r="K508" t="str">
            <v>₪</v>
          </cell>
          <cell r="L508">
            <v>2000</v>
          </cell>
          <cell r="M508" t="str">
            <v>יח'</v>
          </cell>
          <cell r="N508">
            <v>991.19999999999993</v>
          </cell>
        </row>
        <row r="509">
          <cell r="B509" t="str">
            <v>MS124695, INSERT, HELICAL, 10-32 X 1.5D</v>
          </cell>
          <cell r="C509">
            <v>38734</v>
          </cell>
          <cell r="D509">
            <v>1</v>
          </cell>
          <cell r="E509" t="str">
            <v>קשיח</v>
          </cell>
          <cell r="F509" t="str">
            <v>01.0023</v>
          </cell>
          <cell r="G509">
            <v>45602</v>
          </cell>
          <cell r="H509" t="str">
            <v>01.0023</v>
          </cell>
          <cell r="I509" t="str">
            <v>לוונשטיין טכנולוגיות בע"מ</v>
          </cell>
          <cell r="J509">
            <v>0.503</v>
          </cell>
          <cell r="K509" t="str">
            <v>₪</v>
          </cell>
          <cell r="L509">
            <v>5000</v>
          </cell>
          <cell r="M509" t="str">
            <v>יח'</v>
          </cell>
          <cell r="N509">
            <v>2515</v>
          </cell>
        </row>
        <row r="510">
          <cell r="B510" t="str">
            <v>MS124695, INSERT, HELICAL, 10-32 X 1.5D</v>
          </cell>
          <cell r="C510">
            <v>36171</v>
          </cell>
          <cell r="D510">
            <v>1</v>
          </cell>
          <cell r="E510" t="str">
            <v>קשיח</v>
          </cell>
          <cell r="F510" t="str">
            <v>01.0023</v>
          </cell>
          <cell r="G510">
            <v>45312</v>
          </cell>
          <cell r="H510" t="str">
            <v>01.0023</v>
          </cell>
          <cell r="I510" t="str">
            <v>לוונשטיין טכנולוגיות בע"מ</v>
          </cell>
          <cell r="J510">
            <v>0.49780000000000002</v>
          </cell>
          <cell r="K510" t="str">
            <v>₪</v>
          </cell>
          <cell r="L510">
            <v>128</v>
          </cell>
          <cell r="M510" t="str">
            <v>יח'</v>
          </cell>
          <cell r="N510">
            <v>63.718400000000003</v>
          </cell>
        </row>
        <row r="511">
          <cell r="B511" t="str">
            <v>MS124695, INSERT, HELICAL, 10-32 X 1.5D</v>
          </cell>
          <cell r="C511">
            <v>36171</v>
          </cell>
          <cell r="D511">
            <v>2</v>
          </cell>
          <cell r="E511" t="str">
            <v>קשיח</v>
          </cell>
          <cell r="F511" t="str">
            <v>01.0023</v>
          </cell>
          <cell r="G511">
            <v>45312</v>
          </cell>
          <cell r="H511" t="str">
            <v>01.0023</v>
          </cell>
          <cell r="I511" t="str">
            <v>לוונשטיין טכנולוגיות בע"מ</v>
          </cell>
          <cell r="J511">
            <v>0.503</v>
          </cell>
          <cell r="K511" t="str">
            <v>₪</v>
          </cell>
          <cell r="L511">
            <v>82</v>
          </cell>
          <cell r="M511" t="str">
            <v>יח'</v>
          </cell>
          <cell r="N511">
            <v>41.246000000000002</v>
          </cell>
        </row>
        <row r="512">
          <cell r="B512" t="str">
            <v>MS124695, INSERT, HELICAL, 10-32 X 1.5D</v>
          </cell>
          <cell r="C512">
            <v>36171</v>
          </cell>
          <cell r="D512">
            <v>3</v>
          </cell>
          <cell r="E512" t="str">
            <v>קשיח</v>
          </cell>
          <cell r="F512" t="str">
            <v>01.0023</v>
          </cell>
          <cell r="G512">
            <v>45312</v>
          </cell>
          <cell r="H512" t="str">
            <v>01.0023</v>
          </cell>
          <cell r="I512" t="str">
            <v>לוונשטיין טכנולוגיות בע"מ</v>
          </cell>
          <cell r="J512">
            <v>0.49780000000000002</v>
          </cell>
          <cell r="K512" t="str">
            <v>₪</v>
          </cell>
          <cell r="L512">
            <v>560</v>
          </cell>
          <cell r="M512" t="str">
            <v>יח'</v>
          </cell>
          <cell r="N512">
            <v>278.76800000000003</v>
          </cell>
        </row>
        <row r="513">
          <cell r="B513" t="str">
            <v>MS124695, INSERT, HELICAL, 10-32 X 1.5D</v>
          </cell>
          <cell r="C513">
            <v>36171</v>
          </cell>
          <cell r="D513">
            <v>4</v>
          </cell>
          <cell r="E513" t="str">
            <v>קשיח</v>
          </cell>
          <cell r="F513" t="str">
            <v>01.0023</v>
          </cell>
          <cell r="G513">
            <v>45312</v>
          </cell>
          <cell r="H513" t="str">
            <v>01.0023</v>
          </cell>
          <cell r="I513" t="str">
            <v>לוונשטיין טכנולוגיות בע"מ</v>
          </cell>
          <cell r="J513">
            <v>0.503</v>
          </cell>
          <cell r="K513" t="str">
            <v>₪</v>
          </cell>
          <cell r="L513">
            <v>230</v>
          </cell>
          <cell r="M513" t="str">
            <v>יח'</v>
          </cell>
          <cell r="N513">
            <v>115.69</v>
          </cell>
        </row>
        <row r="514">
          <cell r="B514" t="str">
            <v>MS124695, INSERT, HELICAL, 10-32 X 1.5D</v>
          </cell>
          <cell r="C514">
            <v>36087</v>
          </cell>
          <cell r="D514">
            <v>1</v>
          </cell>
          <cell r="E514" t="str">
            <v>קשיח</v>
          </cell>
          <cell r="F514" t="str">
            <v>01.0023</v>
          </cell>
          <cell r="G514">
            <v>45301</v>
          </cell>
          <cell r="H514" t="str">
            <v>01.0023</v>
          </cell>
          <cell r="I514" t="str">
            <v>לוונשטיין טכנולוגיות בע"מ</v>
          </cell>
          <cell r="J514">
            <v>0.49990000000000001</v>
          </cell>
          <cell r="K514" t="str">
            <v>₪</v>
          </cell>
          <cell r="L514">
            <v>440</v>
          </cell>
          <cell r="M514" t="str">
            <v>יח'</v>
          </cell>
          <cell r="N514">
            <v>219.95600000000002</v>
          </cell>
        </row>
        <row r="515">
          <cell r="B515" t="str">
            <v>MS124695, INSERT, HELICAL, 10-32 X 1.5D</v>
          </cell>
          <cell r="C515">
            <v>36087</v>
          </cell>
          <cell r="D515">
            <v>2</v>
          </cell>
          <cell r="E515" t="str">
            <v>קשיח</v>
          </cell>
          <cell r="F515" t="str">
            <v>01.0023</v>
          </cell>
          <cell r="G515">
            <v>45301</v>
          </cell>
          <cell r="H515" t="str">
            <v>01.0023</v>
          </cell>
          <cell r="I515" t="str">
            <v>לוונשטיין טכנולוגיות בע"מ</v>
          </cell>
          <cell r="J515">
            <v>0.49990000000000001</v>
          </cell>
          <cell r="K515" t="str">
            <v>₪</v>
          </cell>
          <cell r="L515">
            <v>560</v>
          </cell>
          <cell r="M515" t="str">
            <v>יח'</v>
          </cell>
          <cell r="N515">
            <v>279.94400000000002</v>
          </cell>
        </row>
        <row r="516">
          <cell r="B516" t="str">
            <v>MS124695, INSERT, HELICAL, 10-32 X 1.5D</v>
          </cell>
          <cell r="C516">
            <v>35892</v>
          </cell>
          <cell r="D516">
            <v>1</v>
          </cell>
          <cell r="E516" t="str">
            <v>קשיח</v>
          </cell>
          <cell r="F516" t="str">
            <v>01.0023</v>
          </cell>
          <cell r="G516">
            <v>45281</v>
          </cell>
          <cell r="H516" t="str">
            <v>01.0023</v>
          </cell>
          <cell r="I516" t="str">
            <v>לוונשטיין טכנולוגיות בע"מ</v>
          </cell>
          <cell r="J516">
            <v>0.5</v>
          </cell>
          <cell r="K516" t="str">
            <v>₪</v>
          </cell>
          <cell r="L516">
            <v>2000</v>
          </cell>
          <cell r="M516" t="str">
            <v>יח'</v>
          </cell>
          <cell r="N516">
            <v>1000</v>
          </cell>
        </row>
        <row r="517">
          <cell r="B517" t="str">
            <v>MS124695, INSERT, HELICAL, 10-32 X 1.5D</v>
          </cell>
          <cell r="C517">
            <v>35627</v>
          </cell>
          <cell r="D517">
            <v>6</v>
          </cell>
          <cell r="E517" t="str">
            <v>קשיח</v>
          </cell>
          <cell r="F517" t="str">
            <v>01.0023</v>
          </cell>
          <cell r="G517">
            <v>45253</v>
          </cell>
          <cell r="H517" t="str">
            <v>01.0023</v>
          </cell>
          <cell r="I517" t="str">
            <v>לוונשטיין טכנולוגיות בע"מ</v>
          </cell>
          <cell r="J517">
            <v>0.48</v>
          </cell>
          <cell r="K517" t="str">
            <v>₪</v>
          </cell>
          <cell r="L517">
            <v>13000</v>
          </cell>
          <cell r="M517" t="str">
            <v>יח'</v>
          </cell>
          <cell r="N517">
            <v>6240</v>
          </cell>
        </row>
        <row r="518">
          <cell r="B518" t="str">
            <v>MS124695, INSERT, HELICAL, 10-32 X 1.5D</v>
          </cell>
          <cell r="C518">
            <v>35289</v>
          </cell>
          <cell r="D518">
            <v>1</v>
          </cell>
          <cell r="E518" t="str">
            <v>קשיח</v>
          </cell>
          <cell r="F518" t="str">
            <v>01.0023</v>
          </cell>
          <cell r="G518">
            <v>45208</v>
          </cell>
          <cell r="H518" t="str">
            <v>01.0023</v>
          </cell>
          <cell r="I518" t="str">
            <v>לוונשטיין טכנולוגיות בע"מ</v>
          </cell>
          <cell r="J518">
            <v>0.4995</v>
          </cell>
          <cell r="K518" t="str">
            <v>₪</v>
          </cell>
          <cell r="L518">
            <v>2000</v>
          </cell>
          <cell r="M518" t="str">
            <v>יח'</v>
          </cell>
          <cell r="N518">
            <v>999</v>
          </cell>
        </row>
        <row r="519">
          <cell r="B519" t="str">
            <v>MS124695, INSERT, HELICAL, 10-32 X 1.5D</v>
          </cell>
          <cell r="C519">
            <v>34330</v>
          </cell>
          <cell r="D519">
            <v>1</v>
          </cell>
          <cell r="E519" t="str">
            <v>קשיח</v>
          </cell>
          <cell r="F519" t="str">
            <v>01.0023</v>
          </cell>
          <cell r="G519">
            <v>45104</v>
          </cell>
          <cell r="H519" t="str">
            <v>01.0023</v>
          </cell>
          <cell r="I519" t="str">
            <v>לוונשטיין טכנולוגיות בע"מ</v>
          </cell>
          <cell r="J519">
            <v>0.4995</v>
          </cell>
          <cell r="K519" t="str">
            <v>₪</v>
          </cell>
          <cell r="L519">
            <v>2000</v>
          </cell>
          <cell r="M519" t="str">
            <v>יח'</v>
          </cell>
          <cell r="N519">
            <v>999</v>
          </cell>
        </row>
        <row r="520">
          <cell r="B520" t="str">
            <v>MS124695, INSERT, HELICAL, 10-32 X 1.5D</v>
          </cell>
          <cell r="C520">
            <v>34053</v>
          </cell>
          <cell r="D520">
            <v>2</v>
          </cell>
          <cell r="E520" t="str">
            <v>קשיח</v>
          </cell>
          <cell r="F520" t="str">
            <v>01.0023</v>
          </cell>
          <cell r="G520">
            <v>45074</v>
          </cell>
          <cell r="H520" t="str">
            <v>01.0023</v>
          </cell>
          <cell r="I520" t="str">
            <v>לוונשטיין טכנולוגיות בע"מ</v>
          </cell>
          <cell r="J520">
            <v>0.5</v>
          </cell>
          <cell r="K520" t="str">
            <v>₪</v>
          </cell>
          <cell r="L520">
            <v>2000</v>
          </cell>
          <cell r="M520" t="str">
            <v>יח'</v>
          </cell>
          <cell r="N520">
            <v>1000</v>
          </cell>
        </row>
        <row r="521">
          <cell r="B521" t="str">
            <v>MS124695, INSERT, HELICAL, 10-32 X 1.5D</v>
          </cell>
          <cell r="C521">
            <v>32914</v>
          </cell>
          <cell r="D521">
            <v>1</v>
          </cell>
          <cell r="E521" t="str">
            <v>קשיח</v>
          </cell>
          <cell r="F521" t="str">
            <v>01.0023</v>
          </cell>
          <cell r="G521">
            <v>44895</v>
          </cell>
          <cell r="H521" t="str">
            <v>01.0023</v>
          </cell>
          <cell r="I521" t="str">
            <v>דר טכנולוגיות בע"מ</v>
          </cell>
          <cell r="J521">
            <v>0.4889</v>
          </cell>
          <cell r="K521" t="str">
            <v>₪</v>
          </cell>
          <cell r="L521">
            <v>2000</v>
          </cell>
          <cell r="M521" t="str">
            <v>יח'</v>
          </cell>
          <cell r="N521">
            <v>977.8</v>
          </cell>
        </row>
        <row r="522">
          <cell r="B522" t="str">
            <v>MS124695, INSERT, HELICAL, 10-32 X 1.5D</v>
          </cell>
          <cell r="C522">
            <v>32500</v>
          </cell>
          <cell r="D522">
            <v>1</v>
          </cell>
          <cell r="E522" t="str">
            <v>קשיח</v>
          </cell>
          <cell r="F522" t="str">
            <v>01.0023</v>
          </cell>
          <cell r="G522">
            <v>44833</v>
          </cell>
          <cell r="H522" t="str">
            <v>01.0023</v>
          </cell>
          <cell r="I522" t="str">
            <v>דר טכנולוגיות בע"מ</v>
          </cell>
          <cell r="J522">
            <v>0.49</v>
          </cell>
          <cell r="K522" t="str">
            <v>₪</v>
          </cell>
          <cell r="L522">
            <v>2000</v>
          </cell>
          <cell r="M522" t="str">
            <v>יח'</v>
          </cell>
          <cell r="N522">
            <v>980</v>
          </cell>
        </row>
        <row r="523">
          <cell r="B523" t="str">
            <v>MS124695, INSERT, HELICAL, 10-32 X 1.5D</v>
          </cell>
          <cell r="C523">
            <v>32483</v>
          </cell>
          <cell r="D523">
            <v>1</v>
          </cell>
          <cell r="E523" t="str">
            <v>קשיח</v>
          </cell>
          <cell r="F523" t="str">
            <v>01.0023</v>
          </cell>
          <cell r="G523">
            <v>44825</v>
          </cell>
          <cell r="H523" t="str">
            <v>01.0023</v>
          </cell>
          <cell r="I523" t="str">
            <v>דר טכנולוגיות בע"מ</v>
          </cell>
          <cell r="J523">
            <v>0.4945</v>
          </cell>
          <cell r="K523" t="str">
            <v>₪</v>
          </cell>
          <cell r="L523">
            <v>2000</v>
          </cell>
          <cell r="M523" t="str">
            <v>יח'</v>
          </cell>
          <cell r="N523">
            <v>989</v>
          </cell>
        </row>
        <row r="524">
          <cell r="B524" t="str">
            <v>MS124695, INSERT, HELICAL, 10-32 X 1.5D</v>
          </cell>
          <cell r="C524">
            <v>32254</v>
          </cell>
          <cell r="D524">
            <v>1</v>
          </cell>
          <cell r="E524" t="str">
            <v>קשיח</v>
          </cell>
          <cell r="F524" t="str">
            <v>01.0023</v>
          </cell>
          <cell r="G524">
            <v>44796</v>
          </cell>
          <cell r="H524" t="str">
            <v>01.0023</v>
          </cell>
          <cell r="I524" t="str">
            <v>דר טכנולוגיות בע"מ</v>
          </cell>
          <cell r="J524">
            <v>0.48380000000000001</v>
          </cell>
          <cell r="K524" t="str">
            <v>₪</v>
          </cell>
          <cell r="L524">
            <v>2000</v>
          </cell>
          <cell r="M524" t="str">
            <v>יח'</v>
          </cell>
          <cell r="N524">
            <v>967.6</v>
          </cell>
        </row>
        <row r="525">
          <cell r="B525" t="str">
            <v>MS124695, INSERT, HELICAL, 10-32 X 1.5D</v>
          </cell>
          <cell r="C525">
            <v>24316</v>
          </cell>
          <cell r="D525">
            <v>2</v>
          </cell>
          <cell r="E525" t="str">
            <v>קשיח</v>
          </cell>
          <cell r="F525" t="str">
            <v>01.0023</v>
          </cell>
          <cell r="G525">
            <v>43668</v>
          </cell>
          <cell r="H525" t="str">
            <v>01.0023</v>
          </cell>
          <cell r="I525" t="str">
            <v>דר טכנולוגיות בע"מ</v>
          </cell>
          <cell r="J525">
            <v>0.48</v>
          </cell>
          <cell r="K525" t="str">
            <v>₪</v>
          </cell>
          <cell r="L525">
            <v>1000</v>
          </cell>
          <cell r="M525" t="str">
            <v>יח'</v>
          </cell>
          <cell r="N525">
            <v>480</v>
          </cell>
        </row>
        <row r="526">
          <cell r="B526" t="str">
            <v>MS124695, INSERT, HELICAL, 10-32 X 1.5D</v>
          </cell>
          <cell r="C526">
            <v>18635</v>
          </cell>
          <cell r="D526">
            <v>1</v>
          </cell>
          <cell r="E526" t="str">
            <v>קשיח</v>
          </cell>
          <cell r="F526" t="str">
            <v>01.0023</v>
          </cell>
          <cell r="G526">
            <v>43107</v>
          </cell>
          <cell r="H526" t="str">
            <v>01.0023</v>
          </cell>
          <cell r="I526" t="str">
            <v>דר טכנולוגיות בע"מ</v>
          </cell>
          <cell r="J526">
            <v>0.47589999999999999</v>
          </cell>
          <cell r="K526" t="str">
            <v>₪</v>
          </cell>
          <cell r="M526" t="str">
            <v>יח'</v>
          </cell>
        </row>
        <row r="527">
          <cell r="B527" t="str">
            <v>MS124696, INSERT, HELICAL, 1/4-28 X 1.5D</v>
          </cell>
          <cell r="C527">
            <v>35107</v>
          </cell>
          <cell r="D527">
            <v>1</v>
          </cell>
          <cell r="E527" t="str">
            <v>קשיח</v>
          </cell>
          <cell r="F527" t="str">
            <v>01.0024</v>
          </cell>
          <cell r="G527">
            <v>45182</v>
          </cell>
          <cell r="H527" t="str">
            <v>01.0024</v>
          </cell>
          <cell r="I527" t="str">
            <v>דר טכנולוגיות בע"מ</v>
          </cell>
          <cell r="J527">
            <v>0.59660000000000002</v>
          </cell>
          <cell r="K527" t="str">
            <v>₪</v>
          </cell>
          <cell r="L527">
            <v>1000</v>
          </cell>
          <cell r="M527" t="str">
            <v>יח'</v>
          </cell>
          <cell r="N527">
            <v>596.6</v>
          </cell>
        </row>
        <row r="528">
          <cell r="B528" t="str">
            <v>MS124696, INSERT, HELICAL, 1/4-28 X 1.5D</v>
          </cell>
          <cell r="C528">
            <v>34385</v>
          </cell>
          <cell r="D528">
            <v>1</v>
          </cell>
          <cell r="E528" t="str">
            <v>קשיח</v>
          </cell>
          <cell r="F528" t="str">
            <v>01.0024</v>
          </cell>
          <cell r="G528">
            <v>45111</v>
          </cell>
          <cell r="H528" t="str">
            <v>01.0024</v>
          </cell>
          <cell r="I528" t="str">
            <v>דר טכנולוגיות בע"מ</v>
          </cell>
          <cell r="J528">
            <v>0.60219999999999996</v>
          </cell>
          <cell r="K528" t="str">
            <v>₪</v>
          </cell>
          <cell r="L528">
            <v>1000</v>
          </cell>
          <cell r="M528" t="str">
            <v>יח'</v>
          </cell>
          <cell r="N528">
            <v>602.19999999999993</v>
          </cell>
        </row>
        <row r="529">
          <cell r="B529" t="str">
            <v>MS124696, INSERT, HELICAL, 1/4-28 X 1.5D</v>
          </cell>
          <cell r="C529">
            <v>26982</v>
          </cell>
          <cell r="D529">
            <v>2</v>
          </cell>
          <cell r="E529" t="str">
            <v>קשיח</v>
          </cell>
          <cell r="F529" t="str">
            <v>01.0024</v>
          </cell>
          <cell r="G529">
            <v>44069</v>
          </cell>
          <cell r="H529" t="str">
            <v>01.0024</v>
          </cell>
          <cell r="I529" t="str">
            <v>דר טכנולוגיות בע"מ</v>
          </cell>
          <cell r="J529">
            <v>0.6</v>
          </cell>
          <cell r="K529" t="str">
            <v>₪</v>
          </cell>
          <cell r="L529">
            <v>1000</v>
          </cell>
          <cell r="M529" t="str">
            <v>יח'</v>
          </cell>
          <cell r="N529">
            <v>600</v>
          </cell>
        </row>
        <row r="530">
          <cell r="B530" t="str">
            <v>MS124696, INSERT, HELICAL, 1/4-28 X 1.5D</v>
          </cell>
          <cell r="C530">
            <v>24635</v>
          </cell>
          <cell r="D530">
            <v>4</v>
          </cell>
          <cell r="E530" t="str">
            <v>קשיח</v>
          </cell>
          <cell r="F530" t="str">
            <v>01.0024</v>
          </cell>
          <cell r="G530">
            <v>43716</v>
          </cell>
          <cell r="H530" t="str">
            <v>01.0024</v>
          </cell>
          <cell r="I530" t="str">
            <v>דר טכנולוגיות בע"מ</v>
          </cell>
          <cell r="J530">
            <v>0.59819999999999995</v>
          </cell>
          <cell r="K530" t="str">
            <v>₪</v>
          </cell>
          <cell r="L530">
            <v>1000</v>
          </cell>
          <cell r="M530" t="str">
            <v>יח'</v>
          </cell>
          <cell r="N530">
            <v>598.19999999999993</v>
          </cell>
        </row>
        <row r="531">
          <cell r="B531" t="str">
            <v>MS124696, INSERT, HELICAL, 1/4-28 X 1.5D</v>
          </cell>
          <cell r="C531">
            <v>24316</v>
          </cell>
          <cell r="D531">
            <v>1</v>
          </cell>
          <cell r="E531" t="str">
            <v>קשיח</v>
          </cell>
          <cell r="F531" t="str">
            <v>01.0024</v>
          </cell>
          <cell r="G531">
            <v>43668</v>
          </cell>
          <cell r="H531" t="str">
            <v>01.0024</v>
          </cell>
          <cell r="I531" t="str">
            <v>דר טכנולוגיות בע"מ</v>
          </cell>
          <cell r="J531">
            <v>0.6</v>
          </cell>
          <cell r="K531" t="str">
            <v>₪</v>
          </cell>
          <cell r="L531">
            <v>1000</v>
          </cell>
          <cell r="M531" t="str">
            <v>יח'</v>
          </cell>
          <cell r="N531">
            <v>600</v>
          </cell>
        </row>
        <row r="532">
          <cell r="B532" t="str">
            <v>MS124696, INSERT, HELICAL, 1/4-28 X 1.5D</v>
          </cell>
          <cell r="C532">
            <v>22910</v>
          </cell>
          <cell r="D532">
            <v>1</v>
          </cell>
          <cell r="E532" t="str">
            <v>קשיח</v>
          </cell>
          <cell r="F532" t="str">
            <v>01.0024</v>
          </cell>
          <cell r="G532">
            <v>43507</v>
          </cell>
          <cell r="H532" t="str">
            <v>01.0024</v>
          </cell>
          <cell r="I532" t="str">
            <v>דר טכנולוגיות בע"מ</v>
          </cell>
          <cell r="J532">
            <v>0.65300000000000002</v>
          </cell>
          <cell r="K532" t="str">
            <v>₪</v>
          </cell>
          <cell r="L532">
            <v>1000</v>
          </cell>
          <cell r="M532" t="str">
            <v>יח'</v>
          </cell>
          <cell r="N532">
            <v>653</v>
          </cell>
        </row>
        <row r="533">
          <cell r="B533" t="str">
            <v>MS124696, INSERT, HELICAL, 1/4-28 X 1.5D</v>
          </cell>
          <cell r="C533">
            <v>4215</v>
          </cell>
          <cell r="D533">
            <v>1</v>
          </cell>
          <cell r="E533" t="str">
            <v>קשיח</v>
          </cell>
          <cell r="F533" t="str">
            <v>01.0024</v>
          </cell>
          <cell r="G533">
            <v>41616</v>
          </cell>
          <cell r="H533" t="str">
            <v>01.0024</v>
          </cell>
          <cell r="I533" t="str">
            <v>לוונשטיין טכנולוגיות</v>
          </cell>
          <cell r="J533">
            <v>0.6492</v>
          </cell>
          <cell r="K533" t="str">
            <v>₪</v>
          </cell>
          <cell r="M533" t="str">
            <v>יח'</v>
          </cell>
        </row>
        <row r="534">
          <cell r="B534" t="str">
            <v>MS124697, INSERT, HELICAL, 5/16-24 X 1.5</v>
          </cell>
          <cell r="C534">
            <v>44596</v>
          </cell>
          <cell r="D534">
            <v>2</v>
          </cell>
          <cell r="E534" t="str">
            <v>קשיח</v>
          </cell>
          <cell r="F534" t="str">
            <v>01.0025</v>
          </cell>
          <cell r="G534">
            <v>46047</v>
          </cell>
          <cell r="H534" t="str">
            <v>01.0025</v>
          </cell>
          <cell r="I534" t="str">
            <v>לוונשטיין טכנולוגיות בע"מ</v>
          </cell>
          <cell r="J534">
            <v>0.75</v>
          </cell>
          <cell r="K534" t="str">
            <v>₪</v>
          </cell>
          <cell r="L534">
            <v>500</v>
          </cell>
          <cell r="M534" t="str">
            <v>יח'</v>
          </cell>
          <cell r="N534">
            <v>375</v>
          </cell>
        </row>
        <row r="535">
          <cell r="B535" t="str">
            <v>MS124697, INSERT, HELICAL, 5/16-24 X 1.5</v>
          </cell>
          <cell r="C535">
            <v>39996</v>
          </cell>
          <cell r="D535">
            <v>2</v>
          </cell>
          <cell r="E535" t="str">
            <v>קשיח</v>
          </cell>
          <cell r="F535" t="str">
            <v>01.0025</v>
          </cell>
          <cell r="G535">
            <v>45715</v>
          </cell>
          <cell r="H535" t="str">
            <v>01.0025</v>
          </cell>
          <cell r="I535" t="str">
            <v>לוונשטיין טכנולוגיות בע"מ</v>
          </cell>
          <cell r="J535">
            <v>0.75</v>
          </cell>
          <cell r="K535" t="str">
            <v>₪</v>
          </cell>
          <cell r="L535">
            <v>2000</v>
          </cell>
          <cell r="M535" t="str">
            <v>יח'</v>
          </cell>
          <cell r="N535">
            <v>1500</v>
          </cell>
        </row>
        <row r="536">
          <cell r="B536" t="str">
            <v>MS124697, INSERT, HELICAL, 5/16-24 X 1.5</v>
          </cell>
          <cell r="C536">
            <v>35134</v>
          </cell>
          <cell r="D536">
            <v>1</v>
          </cell>
          <cell r="E536" t="str">
            <v>קשיח</v>
          </cell>
          <cell r="F536" t="str">
            <v>01.0025</v>
          </cell>
          <cell r="G536">
            <v>45188</v>
          </cell>
          <cell r="H536" t="str">
            <v>01.0025</v>
          </cell>
          <cell r="I536" t="str">
            <v>דר טכנולוגיות בע"מ</v>
          </cell>
          <cell r="J536">
            <v>0.6</v>
          </cell>
          <cell r="K536" t="str">
            <v>₪</v>
          </cell>
          <cell r="L536">
            <v>500</v>
          </cell>
          <cell r="M536" t="str">
            <v>יח'</v>
          </cell>
          <cell r="N536">
            <v>300</v>
          </cell>
        </row>
        <row r="537">
          <cell r="B537" t="str">
            <v>MS124736, INSERT, HELICAL, 1/4-28 X 2D</v>
          </cell>
          <cell r="C537">
            <v>44378</v>
          </cell>
          <cell r="D537">
            <v>1</v>
          </cell>
          <cell r="E537" t="str">
            <v>קשיח</v>
          </cell>
          <cell r="F537" t="str">
            <v>01.0026</v>
          </cell>
          <cell r="G537">
            <v>46033</v>
          </cell>
          <cell r="H537" t="str">
            <v>01.0026</v>
          </cell>
          <cell r="I537" t="str">
            <v>דר טכנולוגיות בע"מ</v>
          </cell>
          <cell r="J537">
            <v>0.39750000000000002</v>
          </cell>
          <cell r="K537" t="str">
            <v>₪</v>
          </cell>
          <cell r="L537">
            <v>4000</v>
          </cell>
          <cell r="M537" t="str">
            <v>יח'</v>
          </cell>
          <cell r="N537">
            <v>1590</v>
          </cell>
        </row>
        <row r="538">
          <cell r="B538" t="str">
            <v>MS124736, INSERT, HELICAL, 1/4-28 X 2D</v>
          </cell>
          <cell r="C538">
            <v>42937</v>
          </cell>
          <cell r="D538">
            <v>2</v>
          </cell>
          <cell r="E538" t="str">
            <v>קשיח</v>
          </cell>
          <cell r="F538" t="str">
            <v>01.0026</v>
          </cell>
          <cell r="G538">
            <v>45995</v>
          </cell>
          <cell r="H538" t="str">
            <v>01.0026</v>
          </cell>
          <cell r="I538" t="str">
            <v>דר טכנולוגיות בע"מ</v>
          </cell>
          <cell r="J538">
            <v>0.39810000000000001</v>
          </cell>
          <cell r="K538" t="str">
            <v>₪</v>
          </cell>
          <cell r="L538">
            <v>1000</v>
          </cell>
          <cell r="M538" t="str">
            <v>יח'</v>
          </cell>
          <cell r="N538">
            <v>398.1</v>
          </cell>
        </row>
        <row r="539">
          <cell r="B539" t="str">
            <v>MS124736, INSERT, HELICAL, 1/4-28 X 2D</v>
          </cell>
          <cell r="C539">
            <v>42857</v>
          </cell>
          <cell r="D539">
            <v>1</v>
          </cell>
          <cell r="E539" t="str">
            <v>קשיח</v>
          </cell>
          <cell r="F539" t="str">
            <v>01.0026</v>
          </cell>
          <cell r="G539">
            <v>45988</v>
          </cell>
          <cell r="H539" t="str">
            <v>01.0026</v>
          </cell>
          <cell r="I539" t="str">
            <v>דר טכנולוגיות בע"מ</v>
          </cell>
          <cell r="J539">
            <v>0.4017</v>
          </cell>
          <cell r="K539" t="str">
            <v>₪</v>
          </cell>
          <cell r="L539">
            <v>4000</v>
          </cell>
          <cell r="M539" t="str">
            <v>יח'</v>
          </cell>
          <cell r="N539">
            <v>1606.8</v>
          </cell>
        </row>
        <row r="540">
          <cell r="B540" t="str">
            <v>MS124736, INSERT, HELICAL, 1/4-28 X 2D</v>
          </cell>
          <cell r="C540">
            <v>42263</v>
          </cell>
          <cell r="D540">
            <v>1</v>
          </cell>
          <cell r="E540" t="str">
            <v>קשיח</v>
          </cell>
          <cell r="F540" t="str">
            <v>01.0026</v>
          </cell>
          <cell r="G540">
            <v>45935</v>
          </cell>
          <cell r="H540" t="str">
            <v>01.0026</v>
          </cell>
          <cell r="I540" t="str">
            <v>דר טכנולוגיות בע"מ</v>
          </cell>
          <cell r="J540">
            <v>0.40110000000000001</v>
          </cell>
          <cell r="K540" t="str">
            <v>₪</v>
          </cell>
          <cell r="L540">
            <v>1000</v>
          </cell>
          <cell r="M540" t="str">
            <v>יח'</v>
          </cell>
          <cell r="N540">
            <v>401.1</v>
          </cell>
        </row>
        <row r="541">
          <cell r="B541" t="str">
            <v>MS124736, INSERT, HELICAL, 1/4-28 X 2D</v>
          </cell>
          <cell r="C541">
            <v>41306</v>
          </cell>
          <cell r="D541">
            <v>1</v>
          </cell>
          <cell r="E541" t="str">
            <v>קשיח</v>
          </cell>
          <cell r="F541" t="str">
            <v>01.0026</v>
          </cell>
          <cell r="G541">
            <v>45837</v>
          </cell>
          <cell r="H541" t="str">
            <v>01.0026</v>
          </cell>
          <cell r="I541" t="str">
            <v>דר טכנולוגיות בע"מ</v>
          </cell>
          <cell r="J541">
            <v>0.4</v>
          </cell>
          <cell r="K541" t="str">
            <v>₪</v>
          </cell>
          <cell r="L541">
            <v>1000</v>
          </cell>
          <cell r="M541" t="str">
            <v>יח'</v>
          </cell>
          <cell r="N541">
            <v>400</v>
          </cell>
        </row>
        <row r="542">
          <cell r="B542" t="str">
            <v>MS124736, INSERT, HELICAL, 1/4-28 X 2D</v>
          </cell>
          <cell r="C542">
            <v>41306</v>
          </cell>
          <cell r="D542">
            <v>2</v>
          </cell>
          <cell r="E542" t="str">
            <v>קשיח</v>
          </cell>
          <cell r="F542" t="str">
            <v>01.0026</v>
          </cell>
          <cell r="G542">
            <v>45837</v>
          </cell>
          <cell r="H542" t="str">
            <v>01.0026</v>
          </cell>
          <cell r="I542" t="str">
            <v>דר טכנולוגיות בע"מ</v>
          </cell>
          <cell r="J542">
            <v>0.4</v>
          </cell>
          <cell r="K542" t="str">
            <v>₪</v>
          </cell>
          <cell r="L542">
            <v>3000</v>
          </cell>
          <cell r="M542" t="str">
            <v>יח'</v>
          </cell>
          <cell r="N542">
            <v>1200</v>
          </cell>
        </row>
        <row r="543">
          <cell r="B543" t="str">
            <v>MS124736, INSERT, HELICAL, 1/4-28 X 2D</v>
          </cell>
          <cell r="C543">
            <v>41306</v>
          </cell>
          <cell r="D543">
            <v>3</v>
          </cell>
          <cell r="E543" t="str">
            <v>קשיח</v>
          </cell>
          <cell r="F543" t="str">
            <v>01.0026</v>
          </cell>
          <cell r="G543">
            <v>45837</v>
          </cell>
          <cell r="H543" t="str">
            <v>01.0026</v>
          </cell>
          <cell r="I543" t="str">
            <v>דר טכנולוגיות בע"מ</v>
          </cell>
          <cell r="J543">
            <v>0.4</v>
          </cell>
          <cell r="K543" t="str">
            <v>₪</v>
          </cell>
          <cell r="L543">
            <v>3000</v>
          </cell>
          <cell r="M543" t="str">
            <v>יח'</v>
          </cell>
          <cell r="N543">
            <v>1200</v>
          </cell>
        </row>
        <row r="544">
          <cell r="B544" t="str">
            <v>MS124736, INSERT, HELICAL, 1/4-28 X 2D</v>
          </cell>
          <cell r="C544">
            <v>41306</v>
          </cell>
          <cell r="D544">
            <v>4</v>
          </cell>
          <cell r="E544" t="str">
            <v>קשיח</v>
          </cell>
          <cell r="F544" t="str">
            <v>01.0026</v>
          </cell>
          <cell r="G544">
            <v>45837</v>
          </cell>
          <cell r="H544" t="str">
            <v>01.0026</v>
          </cell>
          <cell r="I544" t="str">
            <v>דר טכנולוגיות בע"מ</v>
          </cell>
          <cell r="J544">
            <v>0.4</v>
          </cell>
          <cell r="K544" t="str">
            <v>₪</v>
          </cell>
          <cell r="L544">
            <v>3000</v>
          </cell>
          <cell r="M544" t="str">
            <v>יח'</v>
          </cell>
          <cell r="N544">
            <v>1200</v>
          </cell>
        </row>
        <row r="545">
          <cell r="B545" t="str">
            <v>MS124736, INSERT, HELICAL, 1/4-28 X 2D</v>
          </cell>
          <cell r="C545">
            <v>41306</v>
          </cell>
          <cell r="D545">
            <v>5</v>
          </cell>
          <cell r="E545" t="str">
            <v>קשיח</v>
          </cell>
          <cell r="F545" t="str">
            <v>01.0026</v>
          </cell>
          <cell r="G545">
            <v>45837</v>
          </cell>
          <cell r="H545" t="str">
            <v>01.0026</v>
          </cell>
          <cell r="I545" t="str">
            <v>דר טכנולוגיות בע"מ</v>
          </cell>
          <cell r="J545">
            <v>0.4</v>
          </cell>
          <cell r="K545" t="str">
            <v>₪</v>
          </cell>
          <cell r="L545">
            <v>3000</v>
          </cell>
          <cell r="M545" t="str">
            <v>יח'</v>
          </cell>
          <cell r="N545">
            <v>1200</v>
          </cell>
        </row>
        <row r="546">
          <cell r="B546" t="str">
            <v>MS124736, INSERT, HELICAL, 1/4-28 X 2D</v>
          </cell>
          <cell r="C546">
            <v>41306</v>
          </cell>
          <cell r="D546">
            <v>6</v>
          </cell>
          <cell r="E546" t="str">
            <v>קשיח</v>
          </cell>
          <cell r="F546" t="str">
            <v>01.0026</v>
          </cell>
          <cell r="G546">
            <v>45837</v>
          </cell>
          <cell r="H546" t="str">
            <v>01.0026</v>
          </cell>
          <cell r="I546" t="str">
            <v>דר טכנולוגיות בע"מ</v>
          </cell>
          <cell r="J546">
            <v>0.4</v>
          </cell>
          <cell r="K546" t="str">
            <v>₪</v>
          </cell>
          <cell r="L546">
            <v>3000</v>
          </cell>
          <cell r="M546" t="str">
            <v>יח'</v>
          </cell>
          <cell r="N546">
            <v>1200</v>
          </cell>
        </row>
        <row r="547">
          <cell r="B547" t="str">
            <v>MS124736, INSERT, HELICAL, 1/4-28 X 2D</v>
          </cell>
          <cell r="C547">
            <v>41306</v>
          </cell>
          <cell r="D547">
            <v>7</v>
          </cell>
          <cell r="E547" t="str">
            <v>קשיח</v>
          </cell>
          <cell r="F547" t="str">
            <v>01.0026</v>
          </cell>
          <cell r="G547">
            <v>45837</v>
          </cell>
          <cell r="H547" t="str">
            <v>01.0026</v>
          </cell>
          <cell r="I547" t="str">
            <v>דר טכנולוגיות בע"מ</v>
          </cell>
          <cell r="J547">
            <v>0.4</v>
          </cell>
          <cell r="K547" t="str">
            <v>₪</v>
          </cell>
          <cell r="L547">
            <v>3000</v>
          </cell>
          <cell r="M547" t="str">
            <v>יח'</v>
          </cell>
          <cell r="N547">
            <v>1200</v>
          </cell>
        </row>
        <row r="548">
          <cell r="B548" t="str">
            <v>MS124736, INSERT, HELICAL, 1/4-28 X 2D</v>
          </cell>
          <cell r="C548">
            <v>41306</v>
          </cell>
          <cell r="D548">
            <v>8</v>
          </cell>
          <cell r="E548" t="str">
            <v>קשיח</v>
          </cell>
          <cell r="F548" t="str">
            <v>01.0026</v>
          </cell>
          <cell r="G548">
            <v>45837</v>
          </cell>
          <cell r="H548" t="str">
            <v>01.0026</v>
          </cell>
          <cell r="I548" t="str">
            <v>דר טכנולוגיות בע"מ</v>
          </cell>
          <cell r="J548">
            <v>0.4</v>
          </cell>
          <cell r="K548" t="str">
            <v>₪</v>
          </cell>
          <cell r="L548">
            <v>3000</v>
          </cell>
          <cell r="M548" t="str">
            <v>יח'</v>
          </cell>
          <cell r="N548">
            <v>1200</v>
          </cell>
        </row>
        <row r="549">
          <cell r="B549" t="str">
            <v>MS124736, INSERT, HELICAL, 1/4-28 X 2D</v>
          </cell>
          <cell r="C549">
            <v>41306</v>
          </cell>
          <cell r="D549">
            <v>9</v>
          </cell>
          <cell r="E549" t="str">
            <v>קשיח</v>
          </cell>
          <cell r="F549" t="str">
            <v>01.0026</v>
          </cell>
          <cell r="G549">
            <v>45837</v>
          </cell>
          <cell r="H549" t="str">
            <v>01.0026</v>
          </cell>
          <cell r="I549" t="str">
            <v>דר טכנולוגיות בע"מ</v>
          </cell>
          <cell r="J549">
            <v>0.4</v>
          </cell>
          <cell r="K549" t="str">
            <v>₪</v>
          </cell>
          <cell r="L549">
            <v>3000</v>
          </cell>
          <cell r="M549" t="str">
            <v>יח'</v>
          </cell>
          <cell r="N549">
            <v>1200</v>
          </cell>
        </row>
        <row r="550">
          <cell r="B550" t="str">
            <v>MS124736, INSERT, HELICAL, 1/4-28 X 2D</v>
          </cell>
          <cell r="C550">
            <v>41306</v>
          </cell>
          <cell r="D550">
            <v>10</v>
          </cell>
          <cell r="E550" t="str">
            <v>קשיח</v>
          </cell>
          <cell r="F550" t="str">
            <v>01.0026</v>
          </cell>
          <cell r="G550">
            <v>45837</v>
          </cell>
          <cell r="H550" t="str">
            <v>01.0026</v>
          </cell>
          <cell r="I550" t="str">
            <v>דר טכנולוגיות בע"מ</v>
          </cell>
          <cell r="J550">
            <v>0.4</v>
          </cell>
          <cell r="K550" t="str">
            <v>₪</v>
          </cell>
          <cell r="L550">
            <v>3000</v>
          </cell>
          <cell r="M550" t="str">
            <v>יח'</v>
          </cell>
          <cell r="N550">
            <v>1200</v>
          </cell>
        </row>
        <row r="551">
          <cell r="B551" t="str">
            <v>MS124736, INSERT, HELICAL, 1/4-28 X 2D</v>
          </cell>
          <cell r="C551">
            <v>40198</v>
          </cell>
          <cell r="D551">
            <v>1</v>
          </cell>
          <cell r="E551" t="str">
            <v>קשיח</v>
          </cell>
          <cell r="F551" t="str">
            <v>01.0026</v>
          </cell>
          <cell r="G551">
            <v>45733</v>
          </cell>
          <cell r="H551" t="str">
            <v>01.0026</v>
          </cell>
          <cell r="I551" t="str">
            <v>לוונשטיין טכנולוגיות בע"מ</v>
          </cell>
          <cell r="J551">
            <v>0.75</v>
          </cell>
          <cell r="K551" t="str">
            <v>₪</v>
          </cell>
          <cell r="L551">
            <v>2000</v>
          </cell>
          <cell r="M551" t="str">
            <v>יח'</v>
          </cell>
          <cell r="N551">
            <v>1500</v>
          </cell>
        </row>
        <row r="552">
          <cell r="B552" t="str">
            <v>MS124736, INSERT, HELICAL, 1/4-28 X 2D</v>
          </cell>
          <cell r="C552">
            <v>39975</v>
          </cell>
          <cell r="D552">
            <v>1</v>
          </cell>
          <cell r="E552" t="str">
            <v>קשיח</v>
          </cell>
          <cell r="F552" t="str">
            <v>01.0026</v>
          </cell>
          <cell r="G552">
            <v>45714</v>
          </cell>
          <cell r="H552" t="str">
            <v>01.0026</v>
          </cell>
          <cell r="I552" t="str">
            <v>דר טכנולוגיות בע"מ</v>
          </cell>
          <cell r="J552">
            <v>0.6</v>
          </cell>
          <cell r="K552" t="str">
            <v>₪</v>
          </cell>
          <cell r="L552">
            <v>1000</v>
          </cell>
          <cell r="M552" t="str">
            <v>יח'</v>
          </cell>
          <cell r="N552">
            <v>600</v>
          </cell>
        </row>
        <row r="553">
          <cell r="B553" t="str">
            <v>MS124736, INSERT, HELICAL, 1/4-28 X 2D</v>
          </cell>
          <cell r="C553">
            <v>35627</v>
          </cell>
          <cell r="D553">
            <v>7</v>
          </cell>
          <cell r="E553" t="str">
            <v>קשיח</v>
          </cell>
          <cell r="F553" t="str">
            <v>01.0026</v>
          </cell>
          <cell r="G553">
            <v>45253</v>
          </cell>
          <cell r="H553" t="str">
            <v>01.0026</v>
          </cell>
          <cell r="I553" t="str">
            <v>לוונשטיין טכנולוגיות בע"מ</v>
          </cell>
          <cell r="J553">
            <v>0.8</v>
          </cell>
          <cell r="K553" t="str">
            <v>₪</v>
          </cell>
          <cell r="L553">
            <v>14500</v>
          </cell>
          <cell r="M553" t="str">
            <v>יח'</v>
          </cell>
          <cell r="N553">
            <v>11600</v>
          </cell>
        </row>
        <row r="554">
          <cell r="B554" t="str">
            <v>MS124736, INSERT, HELICAL, 1/4-28 X 2D</v>
          </cell>
          <cell r="C554">
            <v>35341</v>
          </cell>
          <cell r="D554">
            <v>1</v>
          </cell>
          <cell r="E554" t="str">
            <v>קשיח</v>
          </cell>
          <cell r="F554" t="str">
            <v>01.0026</v>
          </cell>
          <cell r="G554">
            <v>45216</v>
          </cell>
          <cell r="H554" t="str">
            <v>01.0026</v>
          </cell>
          <cell r="I554" t="str">
            <v>לוונשטיין טכנולוגיות בע"מ</v>
          </cell>
          <cell r="J554">
            <v>1</v>
          </cell>
          <cell r="K554" t="str">
            <v>₪</v>
          </cell>
          <cell r="L554">
            <v>5000</v>
          </cell>
          <cell r="M554" t="str">
            <v>יח'</v>
          </cell>
          <cell r="N554">
            <v>5000</v>
          </cell>
        </row>
        <row r="555">
          <cell r="B555" t="str">
            <v>MS124736, INSERT, HELICAL, 1/4-28 X 2D</v>
          </cell>
          <cell r="C555">
            <v>35294</v>
          </cell>
          <cell r="D555">
            <v>1</v>
          </cell>
          <cell r="E555" t="str">
            <v>קשיח</v>
          </cell>
          <cell r="F555" t="str">
            <v>01.0026</v>
          </cell>
          <cell r="G555">
            <v>45209</v>
          </cell>
          <cell r="H555" t="str">
            <v>01.0026</v>
          </cell>
          <cell r="I555" t="str">
            <v>לוונשטיין טכנולוגיות בע"מ</v>
          </cell>
          <cell r="J555">
            <v>1</v>
          </cell>
          <cell r="K555" t="str">
            <v>₪</v>
          </cell>
          <cell r="L555">
            <v>1000</v>
          </cell>
          <cell r="M555" t="str">
            <v>יח'</v>
          </cell>
          <cell r="N555">
            <v>1000</v>
          </cell>
        </row>
        <row r="556">
          <cell r="B556" t="str">
            <v>MS124736, INSERT, HELICAL, 1/4-28 X 2D</v>
          </cell>
          <cell r="C556">
            <v>35123</v>
          </cell>
          <cell r="D556">
            <v>1</v>
          </cell>
          <cell r="E556" t="str">
            <v>קשיח</v>
          </cell>
          <cell r="F556" t="str">
            <v>01.0026</v>
          </cell>
          <cell r="G556">
            <v>45183</v>
          </cell>
          <cell r="H556" t="str">
            <v>01.0026</v>
          </cell>
          <cell r="I556" t="str">
            <v>לוונשטיין טכנולוגיות בע"מ</v>
          </cell>
          <cell r="J556">
            <v>1.0024999999999999</v>
          </cell>
          <cell r="K556" t="str">
            <v>₪</v>
          </cell>
          <cell r="L556">
            <v>5000</v>
          </cell>
          <cell r="M556" t="str">
            <v>יח'</v>
          </cell>
          <cell r="N556">
            <v>5012.5</v>
          </cell>
        </row>
        <row r="557">
          <cell r="B557" t="str">
            <v>MS124736, INSERT, HELICAL, 1/4-28 X 2D</v>
          </cell>
          <cell r="C557">
            <v>33981</v>
          </cell>
          <cell r="D557">
            <v>1</v>
          </cell>
          <cell r="E557" t="str">
            <v>קשיח</v>
          </cell>
          <cell r="F557" t="str">
            <v>01.0026</v>
          </cell>
          <cell r="G557">
            <v>45063</v>
          </cell>
          <cell r="H557" t="str">
            <v>01.0026</v>
          </cell>
          <cell r="I557" t="str">
            <v>לוונשטיין טכנולוגיות בע"מ</v>
          </cell>
          <cell r="J557">
            <v>1</v>
          </cell>
          <cell r="K557" t="str">
            <v>₪</v>
          </cell>
          <cell r="L557">
            <v>3000</v>
          </cell>
          <cell r="M557" t="str">
            <v>יח'</v>
          </cell>
          <cell r="N557">
            <v>3000</v>
          </cell>
        </row>
        <row r="558">
          <cell r="B558" t="str">
            <v>MS124736, INSERT, HELICAL, 1/4-28 X 2D</v>
          </cell>
          <cell r="C558">
            <v>33967</v>
          </cell>
          <cell r="D558">
            <v>1</v>
          </cell>
          <cell r="E558" t="str">
            <v>קשיח</v>
          </cell>
          <cell r="F558" t="str">
            <v>01.0026</v>
          </cell>
          <cell r="G558">
            <v>45062</v>
          </cell>
          <cell r="H558" t="str">
            <v>01.0026</v>
          </cell>
          <cell r="I558" t="str">
            <v>לוונשטיין טכנולוגיות בע"מ</v>
          </cell>
          <cell r="J558">
            <v>1.0017</v>
          </cell>
          <cell r="K558" t="str">
            <v>₪</v>
          </cell>
          <cell r="L558">
            <v>2000</v>
          </cell>
          <cell r="M558" t="str">
            <v>יח'</v>
          </cell>
          <cell r="N558">
            <v>2003.4</v>
          </cell>
        </row>
        <row r="559">
          <cell r="B559" t="str">
            <v>MS124736, INSERT, HELICAL, 1/4-28 X 2D</v>
          </cell>
          <cell r="C559">
            <v>33948</v>
          </cell>
          <cell r="D559">
            <v>1</v>
          </cell>
          <cell r="E559" t="str">
            <v>קשיח</v>
          </cell>
          <cell r="F559" t="str">
            <v>01.0026</v>
          </cell>
          <cell r="G559">
            <v>45060</v>
          </cell>
          <cell r="H559" t="str">
            <v>01.0026</v>
          </cell>
          <cell r="I559" t="str">
            <v>לוונשטיין טכנולוגיות בע"מ</v>
          </cell>
          <cell r="J559">
            <v>1</v>
          </cell>
          <cell r="K559" t="str">
            <v>₪</v>
          </cell>
          <cell r="L559">
            <v>1000</v>
          </cell>
          <cell r="M559" t="str">
            <v>יח'</v>
          </cell>
          <cell r="N559">
            <v>1000</v>
          </cell>
        </row>
        <row r="560">
          <cell r="B560" t="str">
            <v>MS124736, INSERT, HELICAL, 1/4-28 X 2D</v>
          </cell>
          <cell r="C560">
            <v>33906</v>
          </cell>
          <cell r="D560">
            <v>2</v>
          </cell>
          <cell r="E560" t="str">
            <v>קשיח</v>
          </cell>
          <cell r="F560" t="str">
            <v>01.0026</v>
          </cell>
          <cell r="G560">
            <v>45055</v>
          </cell>
          <cell r="H560" t="str">
            <v>01.0026</v>
          </cell>
          <cell r="I560" t="str">
            <v>לוונשטיין טכנולוגיות בע"מ</v>
          </cell>
          <cell r="J560">
            <v>1</v>
          </cell>
          <cell r="K560" t="str">
            <v>₪</v>
          </cell>
          <cell r="L560">
            <v>1000</v>
          </cell>
          <cell r="M560" t="str">
            <v>יח'</v>
          </cell>
          <cell r="N560">
            <v>1000</v>
          </cell>
        </row>
        <row r="561">
          <cell r="B561" t="str">
            <v>MS124736, INSERT, HELICAL, 1/4-28 X 2D</v>
          </cell>
          <cell r="C561">
            <v>32978</v>
          </cell>
          <cell r="D561">
            <v>1</v>
          </cell>
          <cell r="E561" t="str">
            <v>קשיח</v>
          </cell>
          <cell r="F561" t="str">
            <v>01.0026</v>
          </cell>
          <cell r="G561">
            <v>44907</v>
          </cell>
          <cell r="H561" t="str">
            <v>01.0026</v>
          </cell>
          <cell r="I561" t="str">
            <v>לוונשטיין טכנולוגיות בע"מ</v>
          </cell>
          <cell r="J561">
            <v>1</v>
          </cell>
          <cell r="K561" t="str">
            <v>₪</v>
          </cell>
          <cell r="L561">
            <v>3000</v>
          </cell>
          <cell r="M561" t="str">
            <v>יח'</v>
          </cell>
          <cell r="N561">
            <v>3000</v>
          </cell>
        </row>
        <row r="562">
          <cell r="B562" t="str">
            <v>MS124736, INSERT, HELICAL, 1/4-28 X 2D</v>
          </cell>
          <cell r="C562">
            <v>32979</v>
          </cell>
          <cell r="D562">
            <v>1</v>
          </cell>
          <cell r="E562" t="str">
            <v>קשיח</v>
          </cell>
          <cell r="F562" t="str">
            <v>01.0026</v>
          </cell>
          <cell r="G562">
            <v>44907</v>
          </cell>
          <cell r="H562" t="str">
            <v>01.0026</v>
          </cell>
          <cell r="I562" t="str">
            <v>לוונשטיין טכנולוגיות בע"מ</v>
          </cell>
          <cell r="J562">
            <v>1</v>
          </cell>
          <cell r="K562" t="str">
            <v>₪</v>
          </cell>
          <cell r="L562">
            <v>1000</v>
          </cell>
          <cell r="M562" t="str">
            <v>יח'</v>
          </cell>
          <cell r="N562">
            <v>1000</v>
          </cell>
        </row>
        <row r="563">
          <cell r="B563" t="str">
            <v>MS124736, INSERT, HELICAL, 1/4-28 X 2D</v>
          </cell>
          <cell r="C563">
            <v>32626</v>
          </cell>
          <cell r="D563">
            <v>1</v>
          </cell>
          <cell r="E563" t="str">
            <v>קשיח</v>
          </cell>
          <cell r="F563" t="str">
            <v>01.0026</v>
          </cell>
          <cell r="G563">
            <v>44858</v>
          </cell>
          <cell r="H563" t="str">
            <v>01.0026</v>
          </cell>
          <cell r="I563" t="str">
            <v>לוונשטיין טכנולוגיות בע"מ</v>
          </cell>
          <cell r="J563">
            <v>1.1499999999999999</v>
          </cell>
          <cell r="K563" t="str">
            <v>₪</v>
          </cell>
          <cell r="L563">
            <v>2000</v>
          </cell>
          <cell r="M563" t="str">
            <v>יח'</v>
          </cell>
          <cell r="N563">
            <v>2300</v>
          </cell>
        </row>
        <row r="564">
          <cell r="B564" t="str">
            <v>MS124736, INSERT, HELICAL, 1/4-28 X 2D</v>
          </cell>
          <cell r="C564">
            <v>31850</v>
          </cell>
          <cell r="D564">
            <v>1</v>
          </cell>
          <cell r="E564" t="str">
            <v>קשיח</v>
          </cell>
          <cell r="F564" t="str">
            <v>01.0026</v>
          </cell>
          <cell r="G564">
            <v>44735</v>
          </cell>
          <cell r="H564" t="str">
            <v>01.0026</v>
          </cell>
          <cell r="I564" t="str">
            <v>דר טכנולוגיות בע"מ</v>
          </cell>
          <cell r="J564">
            <v>0.72</v>
          </cell>
          <cell r="K564" t="str">
            <v>₪</v>
          </cell>
          <cell r="L564">
            <v>2900</v>
          </cell>
          <cell r="M564" t="str">
            <v>יח'</v>
          </cell>
          <cell r="N564">
            <v>2088</v>
          </cell>
        </row>
        <row r="565">
          <cell r="B565" t="str">
            <v>MS124736, INSERT, HELICAL, 1/4-28 X 2D</v>
          </cell>
          <cell r="C565">
            <v>31853</v>
          </cell>
          <cell r="D565">
            <v>1</v>
          </cell>
          <cell r="E565" t="str">
            <v>קשיח</v>
          </cell>
          <cell r="F565" t="str">
            <v>01.0026</v>
          </cell>
          <cell r="G565">
            <v>44735</v>
          </cell>
          <cell r="H565" t="str">
            <v>01.0026</v>
          </cell>
          <cell r="I565" t="str">
            <v>לוונשטיין טכנולוגיות בע"מ</v>
          </cell>
          <cell r="J565">
            <v>1.3</v>
          </cell>
          <cell r="K565" t="str">
            <v>₪</v>
          </cell>
          <cell r="L565">
            <v>1000</v>
          </cell>
          <cell r="M565" t="str">
            <v>יח'</v>
          </cell>
          <cell r="N565">
            <v>1300</v>
          </cell>
        </row>
        <row r="566">
          <cell r="B566" t="str">
            <v>MS124736, INSERT, HELICAL, 1/4-28 X 2D</v>
          </cell>
          <cell r="C566">
            <v>31619</v>
          </cell>
          <cell r="D566">
            <v>1</v>
          </cell>
          <cell r="E566" t="str">
            <v>קשיח</v>
          </cell>
          <cell r="F566" t="str">
            <v>01.0026</v>
          </cell>
          <cell r="G566">
            <v>44707</v>
          </cell>
          <cell r="H566" t="str">
            <v>01.0026</v>
          </cell>
          <cell r="I566" t="str">
            <v>דר טכנולוגיות בע"מ</v>
          </cell>
          <cell r="J566">
            <v>0.72</v>
          </cell>
          <cell r="K566" t="str">
            <v>₪</v>
          </cell>
          <cell r="L566">
            <v>2100</v>
          </cell>
          <cell r="M566" t="str">
            <v>יח'</v>
          </cell>
          <cell r="N566">
            <v>1512</v>
          </cell>
        </row>
        <row r="567">
          <cell r="B567" t="str">
            <v>MS124736, INSERT, HELICAL, 1/4-28 X 2D</v>
          </cell>
          <cell r="C567">
            <v>31603</v>
          </cell>
          <cell r="D567">
            <v>1</v>
          </cell>
          <cell r="E567" t="str">
            <v>קשיח</v>
          </cell>
          <cell r="F567" t="str">
            <v>01.0026</v>
          </cell>
          <cell r="G567">
            <v>44705</v>
          </cell>
          <cell r="H567" t="str">
            <v>01.0026</v>
          </cell>
          <cell r="I567" t="str">
            <v>לוונשטיין טכנולוגיות בע"מ</v>
          </cell>
          <cell r="J567">
            <v>1.4</v>
          </cell>
          <cell r="K567" t="str">
            <v>₪</v>
          </cell>
          <cell r="L567">
            <v>950</v>
          </cell>
          <cell r="M567" t="str">
            <v>יח'</v>
          </cell>
          <cell r="N567">
            <v>1330</v>
          </cell>
        </row>
        <row r="568">
          <cell r="B568" t="str">
            <v>MS124736, INSERT, HELICAL, 1/4-28 X 2D</v>
          </cell>
          <cell r="C568">
            <v>31604</v>
          </cell>
          <cell r="D568">
            <v>1</v>
          </cell>
          <cell r="E568" t="str">
            <v>קשיח</v>
          </cell>
          <cell r="F568" t="str">
            <v>01.0026</v>
          </cell>
          <cell r="G568">
            <v>44705</v>
          </cell>
          <cell r="H568" t="str">
            <v>01.0026</v>
          </cell>
          <cell r="I568" t="str">
            <v>גין מהנדסים בע"מ</v>
          </cell>
          <cell r="J568">
            <v>0.5</v>
          </cell>
          <cell r="K568" t="str">
            <v>₪</v>
          </cell>
          <cell r="L568">
            <v>726</v>
          </cell>
          <cell r="M568" t="str">
            <v>יח'</v>
          </cell>
          <cell r="N568">
            <v>363</v>
          </cell>
        </row>
        <row r="569">
          <cell r="B569" t="str">
            <v>MS124736, INSERT, HELICAL, 1/4-28 X 2D</v>
          </cell>
          <cell r="C569">
            <v>31587</v>
          </cell>
          <cell r="D569">
            <v>1</v>
          </cell>
          <cell r="E569" t="str">
            <v>קשיח</v>
          </cell>
          <cell r="F569" t="str">
            <v>01.0026</v>
          </cell>
          <cell r="G569">
            <v>44704</v>
          </cell>
          <cell r="H569" t="str">
            <v>01.0026</v>
          </cell>
          <cell r="I569" t="str">
            <v>גין מהנדסים בע"מ</v>
          </cell>
          <cell r="K569" t="str">
            <v>₪</v>
          </cell>
          <cell r="L569">
            <v>4000</v>
          </cell>
          <cell r="M569" t="str">
            <v>יח'</v>
          </cell>
        </row>
        <row r="570">
          <cell r="B570" t="str">
            <v>MS124736, INSERT, HELICAL, 1/4-28 X 2D</v>
          </cell>
          <cell r="C570">
            <v>31588</v>
          </cell>
          <cell r="D570">
            <v>1</v>
          </cell>
          <cell r="E570" t="str">
            <v>קשיח</v>
          </cell>
          <cell r="F570" t="str">
            <v>01.0026</v>
          </cell>
          <cell r="G570">
            <v>44704</v>
          </cell>
          <cell r="H570" t="str">
            <v>01.0026</v>
          </cell>
          <cell r="I570" t="str">
            <v>לוונשטיין טכנולוגיות בע"מ</v>
          </cell>
          <cell r="K570" t="str">
            <v>₪</v>
          </cell>
          <cell r="M570" t="str">
            <v>יח'</v>
          </cell>
        </row>
        <row r="571">
          <cell r="B571" t="str">
            <v>MS124736, INSERT, HELICAL, 1/4-28 X 2D</v>
          </cell>
          <cell r="C571">
            <v>31589</v>
          </cell>
          <cell r="D571">
            <v>1</v>
          </cell>
          <cell r="E571" t="str">
            <v>קשיח</v>
          </cell>
          <cell r="F571" t="str">
            <v>01.0026</v>
          </cell>
          <cell r="G571">
            <v>44704</v>
          </cell>
          <cell r="H571" t="str">
            <v>01.0026</v>
          </cell>
          <cell r="I571" t="str">
            <v>דר טכנולוגיות בע"מ</v>
          </cell>
          <cell r="J571">
            <v>0.6</v>
          </cell>
          <cell r="K571" t="str">
            <v>₪</v>
          </cell>
          <cell r="L571">
            <v>1000</v>
          </cell>
          <cell r="M571" t="str">
            <v>יח'</v>
          </cell>
          <cell r="N571">
            <v>600</v>
          </cell>
        </row>
        <row r="572">
          <cell r="B572" t="str">
            <v>MS124736, INSERT, HELICAL, 1/4-28 X 2D</v>
          </cell>
          <cell r="C572">
            <v>31560</v>
          </cell>
          <cell r="D572">
            <v>1</v>
          </cell>
          <cell r="E572" t="str">
            <v>קשיח</v>
          </cell>
          <cell r="F572" t="str">
            <v>01.0026</v>
          </cell>
          <cell r="G572">
            <v>44699</v>
          </cell>
          <cell r="H572" t="str">
            <v>01.0026</v>
          </cell>
          <cell r="I572" t="str">
            <v>דר טכנולוגיות בע"מ</v>
          </cell>
          <cell r="J572">
            <v>0.6</v>
          </cell>
          <cell r="K572" t="str">
            <v>₪</v>
          </cell>
          <cell r="L572">
            <v>500</v>
          </cell>
          <cell r="M572" t="str">
            <v>יח'</v>
          </cell>
          <cell r="N572">
            <v>300</v>
          </cell>
        </row>
        <row r="573">
          <cell r="B573" t="str">
            <v>MS124736, INSERT, HELICAL, 1/4-28 X 2D</v>
          </cell>
          <cell r="C573">
            <v>31474</v>
          </cell>
          <cell r="D573">
            <v>1</v>
          </cell>
          <cell r="E573" t="str">
            <v>קשיח</v>
          </cell>
          <cell r="F573" t="str">
            <v>01.0026</v>
          </cell>
          <cell r="G573">
            <v>44690</v>
          </cell>
          <cell r="H573" t="str">
            <v>01.0026</v>
          </cell>
          <cell r="I573" t="str">
            <v>דר טכנולוגיות בע"מ</v>
          </cell>
          <cell r="J573">
            <v>0.6</v>
          </cell>
          <cell r="K573" t="str">
            <v>₪</v>
          </cell>
          <cell r="L573">
            <v>2000</v>
          </cell>
          <cell r="M573" t="str">
            <v>יח'</v>
          </cell>
          <cell r="N573">
            <v>1200</v>
          </cell>
        </row>
        <row r="574">
          <cell r="B574" t="str">
            <v>MS124736, INSERT, HELICAL, 1/4-28 X 2D</v>
          </cell>
          <cell r="C574">
            <v>24831</v>
          </cell>
          <cell r="D574">
            <v>1</v>
          </cell>
          <cell r="E574" t="str">
            <v>קשיח</v>
          </cell>
          <cell r="F574" t="str">
            <v>01.0026</v>
          </cell>
          <cell r="G574">
            <v>43748</v>
          </cell>
          <cell r="H574" t="str">
            <v>01.0026</v>
          </cell>
          <cell r="I574" t="str">
            <v>גין מהנדסים בע"מ</v>
          </cell>
          <cell r="J574">
            <v>0.44</v>
          </cell>
          <cell r="K574" t="str">
            <v>₪</v>
          </cell>
          <cell r="L574">
            <v>1000</v>
          </cell>
          <cell r="M574" t="str">
            <v>יח'</v>
          </cell>
          <cell r="N574">
            <v>440</v>
          </cell>
        </row>
        <row r="575">
          <cell r="B575" t="str">
            <v>MS124736, INSERT, HELICAL, 1/4-28 X 2D</v>
          </cell>
          <cell r="C575">
            <v>23693</v>
          </cell>
          <cell r="D575">
            <v>1</v>
          </cell>
          <cell r="E575" t="str">
            <v>קשיח</v>
          </cell>
          <cell r="F575" t="str">
            <v>01.0026</v>
          </cell>
          <cell r="G575">
            <v>43597</v>
          </cell>
          <cell r="H575" t="str">
            <v>01.0026</v>
          </cell>
          <cell r="I575" t="str">
            <v>גין מהנדסים בע"מ</v>
          </cell>
          <cell r="J575">
            <v>0.69</v>
          </cell>
          <cell r="K575" t="str">
            <v>₪</v>
          </cell>
          <cell r="L575">
            <v>1000</v>
          </cell>
          <cell r="M575" t="str">
            <v>יח'</v>
          </cell>
          <cell r="N575">
            <v>690</v>
          </cell>
        </row>
        <row r="576">
          <cell r="B576" t="str">
            <v>MS124736, INSERT, HELICAL, 1/4-28 X 2D</v>
          </cell>
          <cell r="C576">
            <v>23517</v>
          </cell>
          <cell r="D576">
            <v>2</v>
          </cell>
          <cell r="E576" t="str">
            <v>קשיח</v>
          </cell>
          <cell r="F576" t="str">
            <v>01.0026</v>
          </cell>
          <cell r="G576">
            <v>43576</v>
          </cell>
          <cell r="H576" t="str">
            <v>01.0026</v>
          </cell>
          <cell r="I576" t="str">
            <v>ברמיל בע"מ</v>
          </cell>
          <cell r="J576">
            <v>0.55000000000000004</v>
          </cell>
          <cell r="K576" t="str">
            <v>₪</v>
          </cell>
          <cell r="L576">
            <v>1000</v>
          </cell>
          <cell r="M576" t="str">
            <v>יח'</v>
          </cell>
          <cell r="N576">
            <v>550</v>
          </cell>
        </row>
        <row r="577">
          <cell r="B577" t="str">
            <v>MS124736, INSERT, HELICAL, 1/4-28 X 2D</v>
          </cell>
          <cell r="C577">
            <v>2620</v>
          </cell>
          <cell r="D577">
            <v>1</v>
          </cell>
          <cell r="E577" t="str">
            <v>קשיח</v>
          </cell>
          <cell r="F577" t="str">
            <v>01.0026</v>
          </cell>
          <cell r="G577">
            <v>41400</v>
          </cell>
          <cell r="H577" t="str">
            <v>01.0026</v>
          </cell>
          <cell r="I577" t="str">
            <v>מלאי מקומי בע"מ</v>
          </cell>
          <cell r="J577">
            <v>0.6</v>
          </cell>
          <cell r="K577" t="str">
            <v>₪</v>
          </cell>
          <cell r="L577">
            <v>2000</v>
          </cell>
          <cell r="M577" t="str">
            <v>יח'</v>
          </cell>
          <cell r="N577">
            <v>1200</v>
          </cell>
        </row>
        <row r="578">
          <cell r="B578" t="str">
            <v>MS124698, INSERT, HELICAL, 3/8-24 X 1.5</v>
          </cell>
          <cell r="C578">
            <v>5442</v>
          </cell>
          <cell r="D578">
            <v>1</v>
          </cell>
          <cell r="E578" t="str">
            <v>קשיח</v>
          </cell>
          <cell r="F578" t="str">
            <v>01.0027</v>
          </cell>
          <cell r="G578">
            <v>41751</v>
          </cell>
          <cell r="H578" t="str">
            <v>01.0027</v>
          </cell>
          <cell r="I578" t="str">
            <v>לוונשטיין טכנולוגיות</v>
          </cell>
          <cell r="J578">
            <v>1.3013999999999999</v>
          </cell>
          <cell r="K578" t="str">
            <v>₪</v>
          </cell>
          <cell r="M578" t="str">
            <v>יח'</v>
          </cell>
        </row>
        <row r="579">
          <cell r="B579" t="str">
            <v>MS21209-410, INSERT, HELICAL, 1/4-20 X 1D</v>
          </cell>
          <cell r="C579">
            <v>32889</v>
          </cell>
          <cell r="D579">
            <v>1</v>
          </cell>
          <cell r="E579" t="str">
            <v>קשיח</v>
          </cell>
          <cell r="F579" t="str">
            <v>01.0028</v>
          </cell>
          <cell r="G579">
            <v>44894</v>
          </cell>
          <cell r="H579" t="str">
            <v>01.0028</v>
          </cell>
          <cell r="I579" t="str">
            <v>דר טכנולוגיות בע"מ</v>
          </cell>
          <cell r="J579">
            <v>0.6</v>
          </cell>
          <cell r="K579" t="str">
            <v>₪</v>
          </cell>
          <cell r="L579">
            <v>1000</v>
          </cell>
          <cell r="M579" t="str">
            <v>יח'</v>
          </cell>
          <cell r="N579">
            <v>600</v>
          </cell>
        </row>
        <row r="580">
          <cell r="B580" t="str">
            <v>MS21209-410, INSERT, HELICAL, 1/4-20 X 1D</v>
          </cell>
          <cell r="C580">
            <v>2237</v>
          </cell>
          <cell r="D580">
            <v>1</v>
          </cell>
          <cell r="E580" t="str">
            <v>קשיח</v>
          </cell>
          <cell r="F580" t="str">
            <v>01.0028</v>
          </cell>
          <cell r="G580">
            <v>41344</v>
          </cell>
          <cell r="H580" t="str">
            <v>01.0028</v>
          </cell>
          <cell r="I580" t="str">
            <v>מלאי מקומי בע"מ</v>
          </cell>
          <cell r="J580">
            <v>0</v>
          </cell>
          <cell r="K580" t="str">
            <v>₪</v>
          </cell>
          <cell r="M580" t="str">
            <v>יח'</v>
          </cell>
        </row>
        <row r="581">
          <cell r="B581" t="str">
            <v>MS51830-108, INSERT KEY-LOCKED 3/8-16 N/L</v>
          </cell>
          <cell r="C581">
            <v>27044</v>
          </cell>
          <cell r="D581">
            <v>1</v>
          </cell>
          <cell r="E581" t="str">
            <v>קשיח</v>
          </cell>
          <cell r="F581" t="str">
            <v>01.0029</v>
          </cell>
          <cell r="G581">
            <v>44081</v>
          </cell>
          <cell r="H581" t="str">
            <v>01.0029</v>
          </cell>
          <cell r="I581" t="str">
            <v>גין מהנדסים בע"מ</v>
          </cell>
          <cell r="J581">
            <v>6.3000999999999996</v>
          </cell>
          <cell r="K581" t="str">
            <v>₪</v>
          </cell>
          <cell r="L581">
            <v>200</v>
          </cell>
          <cell r="M581" t="str">
            <v>יח'</v>
          </cell>
          <cell r="N581">
            <v>1260.02</v>
          </cell>
        </row>
        <row r="582">
          <cell r="B582" t="str">
            <v>MS51830-108, INSERT KEY-LOCKED 3/8-16 N/L</v>
          </cell>
          <cell r="C582">
            <v>25065</v>
          </cell>
          <cell r="D582">
            <v>1</v>
          </cell>
          <cell r="E582" t="str">
            <v>קשיח</v>
          </cell>
          <cell r="F582" t="str">
            <v>01.0029</v>
          </cell>
          <cell r="G582">
            <v>43783</v>
          </cell>
          <cell r="H582" t="str">
            <v>01.0029</v>
          </cell>
          <cell r="I582" t="str">
            <v>גין מהנדסים בע"מ</v>
          </cell>
          <cell r="J582">
            <v>6.3</v>
          </cell>
          <cell r="K582" t="str">
            <v>₪</v>
          </cell>
          <cell r="L582">
            <v>2000</v>
          </cell>
          <cell r="M582" t="str">
            <v>יח'</v>
          </cell>
          <cell r="N582">
            <v>12600</v>
          </cell>
        </row>
        <row r="583">
          <cell r="B583" t="str">
            <v>MS51830-108, INSERT KEY-LOCKED 3/8-16 N/L</v>
          </cell>
          <cell r="C583">
            <v>24998</v>
          </cell>
          <cell r="D583">
            <v>1</v>
          </cell>
          <cell r="E583" t="str">
            <v>קשיח</v>
          </cell>
          <cell r="F583" t="str">
            <v>01.0029</v>
          </cell>
          <cell r="G583">
            <v>43776</v>
          </cell>
          <cell r="H583" t="str">
            <v>01.0029</v>
          </cell>
          <cell r="I583" t="str">
            <v>גין מהנדסים בע"מ</v>
          </cell>
          <cell r="J583">
            <v>6.3</v>
          </cell>
          <cell r="K583" t="str">
            <v>₪</v>
          </cell>
          <cell r="L583">
            <v>500</v>
          </cell>
          <cell r="M583" t="str">
            <v>יח'</v>
          </cell>
          <cell r="N583">
            <v>3150</v>
          </cell>
        </row>
        <row r="584">
          <cell r="B584" t="str">
            <v>MS51830-108, INSERT KEY-LOCKED 3/8-16 N/L</v>
          </cell>
          <cell r="C584">
            <v>24617</v>
          </cell>
          <cell r="D584">
            <v>3</v>
          </cell>
          <cell r="E584" t="str">
            <v>קשיח</v>
          </cell>
          <cell r="F584" t="str">
            <v>01.0029</v>
          </cell>
          <cell r="G584">
            <v>43710</v>
          </cell>
          <cell r="H584" t="str">
            <v>01.0029</v>
          </cell>
          <cell r="I584" t="str">
            <v>גין מהנדסים בע"מ</v>
          </cell>
          <cell r="J584">
            <v>6.3000999999999996</v>
          </cell>
          <cell r="K584" t="str">
            <v>₪</v>
          </cell>
          <cell r="L584">
            <v>1000</v>
          </cell>
          <cell r="M584" t="str">
            <v>יח'</v>
          </cell>
          <cell r="N584">
            <v>6300.0999999999995</v>
          </cell>
        </row>
        <row r="585">
          <cell r="B585" t="str">
            <v>MS51830-108, INSERT KEY-LOCKED 3/8-16 N/L</v>
          </cell>
          <cell r="C585">
            <v>24531</v>
          </cell>
          <cell r="D585">
            <v>1</v>
          </cell>
          <cell r="E585" t="str">
            <v>קשיח</v>
          </cell>
          <cell r="F585" t="str">
            <v>01.0029</v>
          </cell>
          <cell r="G585">
            <v>43696</v>
          </cell>
          <cell r="H585" t="str">
            <v>01.0029</v>
          </cell>
          <cell r="I585" t="str">
            <v>גין מהנדסים בע"מ</v>
          </cell>
          <cell r="J585">
            <v>6.3000999999999996</v>
          </cell>
          <cell r="K585" t="str">
            <v>₪</v>
          </cell>
          <cell r="L585">
            <v>250</v>
          </cell>
          <cell r="M585" t="str">
            <v>יח'</v>
          </cell>
          <cell r="N585">
            <v>1575.0249999999999</v>
          </cell>
        </row>
        <row r="586">
          <cell r="B586" t="str">
            <v>MS51830-108, INSERT KEY-LOCKED 3/8-16 N/L</v>
          </cell>
          <cell r="C586">
            <v>24179</v>
          </cell>
          <cell r="D586">
            <v>3</v>
          </cell>
          <cell r="E586" t="str">
            <v>קשיח</v>
          </cell>
          <cell r="F586" t="str">
            <v>01.0029</v>
          </cell>
          <cell r="G586">
            <v>43654</v>
          </cell>
          <cell r="H586" t="str">
            <v>01.0029</v>
          </cell>
          <cell r="I586" t="str">
            <v>גין מהנדסים בע"מ</v>
          </cell>
          <cell r="J586">
            <v>6.3</v>
          </cell>
          <cell r="K586" t="str">
            <v>₪</v>
          </cell>
          <cell r="L586">
            <v>200</v>
          </cell>
          <cell r="M586" t="str">
            <v>יח'</v>
          </cell>
          <cell r="N586">
            <v>1260</v>
          </cell>
        </row>
        <row r="587">
          <cell r="B587" t="str">
            <v>MS51830-108, INSERT KEY-LOCKED 3/8-16 N/L</v>
          </cell>
          <cell r="C587">
            <v>7716</v>
          </cell>
          <cell r="D587">
            <v>3</v>
          </cell>
          <cell r="E587" t="str">
            <v>קשיח</v>
          </cell>
          <cell r="F587" t="str">
            <v>01.0029</v>
          </cell>
          <cell r="G587">
            <v>42046</v>
          </cell>
          <cell r="H587" t="str">
            <v>01.0029</v>
          </cell>
          <cell r="I587" t="str">
            <v>לוונשטיין טכנולוגיות</v>
          </cell>
          <cell r="K587" t="str">
            <v>₪</v>
          </cell>
          <cell r="L587">
            <v>100</v>
          </cell>
          <cell r="M587" t="str">
            <v>יח'</v>
          </cell>
        </row>
        <row r="588">
          <cell r="B588" t="str">
            <v>M4X0.7-1D 1084-4CNW040S  SS 304 dry lube</v>
          </cell>
          <cell r="C588">
            <v>27644</v>
          </cell>
          <cell r="D588">
            <v>1</v>
          </cell>
          <cell r="E588" t="str">
            <v>קשיח</v>
          </cell>
          <cell r="F588" t="str">
            <v>01.0034</v>
          </cell>
          <cell r="G588">
            <v>44165</v>
          </cell>
          <cell r="H588" t="str">
            <v>01.0034</v>
          </cell>
          <cell r="I588" t="str">
            <v>גין מהנדסים בע"מ</v>
          </cell>
          <cell r="J588">
            <v>1.9748000000000001</v>
          </cell>
          <cell r="K588" t="str">
            <v>₪</v>
          </cell>
          <cell r="M588" t="str">
            <v>יח'</v>
          </cell>
        </row>
        <row r="589">
          <cell r="B589" t="str">
            <v>INSERT HCOIL M4X1</v>
          </cell>
          <cell r="C589">
            <v>33685</v>
          </cell>
          <cell r="D589">
            <v>2</v>
          </cell>
          <cell r="E589" t="str">
            <v>קשיח</v>
          </cell>
          <cell r="F589" t="str">
            <v>01.0035</v>
          </cell>
          <cell r="G589">
            <v>45019</v>
          </cell>
          <cell r="H589" t="str">
            <v>01.0035</v>
          </cell>
          <cell r="I589" t="str">
            <v>לוונשטיין טכנולוגיות בע"מ</v>
          </cell>
          <cell r="J589">
            <v>0.5</v>
          </cell>
          <cell r="K589" t="str">
            <v>₪</v>
          </cell>
          <cell r="L589">
            <v>2000</v>
          </cell>
          <cell r="M589" t="str">
            <v>יח'</v>
          </cell>
          <cell r="N589">
            <v>1000</v>
          </cell>
        </row>
        <row r="590">
          <cell r="B590" t="str">
            <v>Keensert M4X0.7 H=8mm KNHM4X0.7</v>
          </cell>
          <cell r="C590">
            <v>2551</v>
          </cell>
          <cell r="D590">
            <v>6</v>
          </cell>
          <cell r="E590" t="str">
            <v>קשיח</v>
          </cell>
          <cell r="F590" t="str">
            <v>01.0035</v>
          </cell>
          <cell r="G590">
            <v>41389</v>
          </cell>
          <cell r="H590" t="str">
            <v>01.0035</v>
          </cell>
          <cell r="I590" t="str">
            <v>לוונשטיין טכנולוגיות</v>
          </cell>
          <cell r="J590">
            <v>25.5</v>
          </cell>
          <cell r="K590" t="str">
            <v>₪</v>
          </cell>
          <cell r="L590">
            <v>100</v>
          </cell>
          <cell r="M590" t="str">
            <v>יח'</v>
          </cell>
          <cell r="N590">
            <v>2550</v>
          </cell>
        </row>
        <row r="591">
          <cell r="B591" t="str">
            <v>MS122159
INSERT, HELICAL, 8-32 X 2D</v>
          </cell>
          <cell r="C591">
            <v>15026</v>
          </cell>
          <cell r="D591">
            <v>1</v>
          </cell>
          <cell r="E591" t="str">
            <v>קשיח</v>
          </cell>
          <cell r="F591" t="str">
            <v>01.0038</v>
          </cell>
          <cell r="G591">
            <v>42810</v>
          </cell>
          <cell r="H591" t="str">
            <v>01.0038</v>
          </cell>
          <cell r="I591" t="str">
            <v>דר טכנולוגיות בע"מ</v>
          </cell>
          <cell r="J591">
            <v>0.59740000000000004</v>
          </cell>
          <cell r="K591" t="str">
            <v>₪</v>
          </cell>
          <cell r="M591" t="str">
            <v>יח'</v>
          </cell>
        </row>
        <row r="592">
          <cell r="B592" t="str">
            <v>MS122159
INSERT, HELICAL, 8-32 X 2D</v>
          </cell>
          <cell r="C592">
            <v>12708</v>
          </cell>
          <cell r="D592">
            <v>1</v>
          </cell>
          <cell r="E592" t="str">
            <v>קשיח</v>
          </cell>
          <cell r="F592" t="str">
            <v>01.0038</v>
          </cell>
          <cell r="G592">
            <v>42585</v>
          </cell>
          <cell r="H592" t="str">
            <v>01.0038</v>
          </cell>
          <cell r="I592" t="str">
            <v>דר טכנולוגיות בע"מ</v>
          </cell>
          <cell r="J592">
            <v>0.5978</v>
          </cell>
          <cell r="K592" t="str">
            <v>₪</v>
          </cell>
          <cell r="M592" t="str">
            <v>יח'</v>
          </cell>
        </row>
        <row r="593">
          <cell r="B593" t="str">
            <v>MS21209C0415
INSERT, HELICAL, 4-40 X 1.5D</v>
          </cell>
          <cell r="C593">
            <v>43155</v>
          </cell>
          <cell r="D593">
            <v>1</v>
          </cell>
          <cell r="E593" t="str">
            <v>קשיח</v>
          </cell>
          <cell r="F593" t="str">
            <v>01.0039</v>
          </cell>
          <cell r="G593">
            <v>46012</v>
          </cell>
          <cell r="H593" t="str">
            <v>01.0039</v>
          </cell>
          <cell r="I593" t="str">
            <v>דר טכנולוגיות בע"מ</v>
          </cell>
          <cell r="J593">
            <v>0.47989999999999999</v>
          </cell>
          <cell r="K593" t="str">
            <v>₪</v>
          </cell>
          <cell r="L593">
            <v>1000</v>
          </cell>
          <cell r="M593" t="str">
            <v>יח'</v>
          </cell>
          <cell r="N593">
            <v>479.9</v>
          </cell>
        </row>
        <row r="594">
          <cell r="B594" t="str">
            <v>MS21209C0415
INSERT, HELICAL, 4-40 X 1.5D</v>
          </cell>
          <cell r="C594">
            <v>41081</v>
          </cell>
          <cell r="D594">
            <v>1</v>
          </cell>
          <cell r="E594" t="str">
            <v>קשיח</v>
          </cell>
          <cell r="F594" t="str">
            <v>01.0039</v>
          </cell>
          <cell r="G594">
            <v>45811</v>
          </cell>
          <cell r="H594" t="str">
            <v>01.0039</v>
          </cell>
          <cell r="I594" t="str">
            <v>דר טכנולוגיות בע"מ</v>
          </cell>
          <cell r="J594">
            <v>0.47989999999999999</v>
          </cell>
          <cell r="K594" t="str">
            <v>₪</v>
          </cell>
          <cell r="L594">
            <v>1000</v>
          </cell>
          <cell r="M594" t="str">
            <v>יח'</v>
          </cell>
          <cell r="N594">
            <v>479.9</v>
          </cell>
        </row>
        <row r="595">
          <cell r="B595" t="str">
            <v>MS21209C0415
INSERT, HELICAL, 4-40 X 1.5D</v>
          </cell>
          <cell r="C595">
            <v>40527</v>
          </cell>
          <cell r="D595">
            <v>1</v>
          </cell>
          <cell r="E595" t="str">
            <v>קשיח</v>
          </cell>
          <cell r="F595" t="str">
            <v>01.0039</v>
          </cell>
          <cell r="G595">
            <v>45762</v>
          </cell>
          <cell r="H595" t="str">
            <v>01.0039</v>
          </cell>
          <cell r="I595" t="str">
            <v>דר טכנולוגיות בע"מ</v>
          </cell>
          <cell r="J595">
            <v>0.48</v>
          </cell>
          <cell r="K595" t="str">
            <v>₪</v>
          </cell>
          <cell r="L595">
            <v>1000</v>
          </cell>
          <cell r="M595" t="str">
            <v>יח'</v>
          </cell>
          <cell r="N595">
            <v>480</v>
          </cell>
        </row>
        <row r="596">
          <cell r="B596" t="str">
            <v>MS21209C0415
INSERT, HELICAL, 4-40 X 1.5D</v>
          </cell>
          <cell r="C596">
            <v>37899</v>
          </cell>
          <cell r="D596">
            <v>1</v>
          </cell>
          <cell r="E596" t="str">
            <v>קשיח</v>
          </cell>
          <cell r="F596" t="str">
            <v>01.0039</v>
          </cell>
          <cell r="G596">
            <v>45503</v>
          </cell>
          <cell r="H596" t="str">
            <v>01.0039</v>
          </cell>
          <cell r="I596" t="str">
            <v>דר טכנולוגיות בע"מ</v>
          </cell>
          <cell r="J596">
            <v>0.48</v>
          </cell>
          <cell r="K596" t="str">
            <v>₪</v>
          </cell>
          <cell r="L596">
            <v>1000</v>
          </cell>
          <cell r="M596" t="str">
            <v>יח'</v>
          </cell>
          <cell r="N596">
            <v>480</v>
          </cell>
        </row>
        <row r="597">
          <cell r="B597" t="str">
            <v>MS21209C0415
INSERT, HELICAL, 4-40 X 1.5D</v>
          </cell>
          <cell r="C597">
            <v>37873</v>
          </cell>
          <cell r="D597">
            <v>2</v>
          </cell>
          <cell r="E597" t="str">
            <v>קשיח</v>
          </cell>
          <cell r="F597" t="str">
            <v>01.0039</v>
          </cell>
          <cell r="G597">
            <v>45502</v>
          </cell>
          <cell r="H597" t="str">
            <v>01.0039</v>
          </cell>
          <cell r="I597" t="str">
            <v>לוונשטיין טכנולוגיות בע"מ</v>
          </cell>
          <cell r="J597">
            <v>0.53469999999999995</v>
          </cell>
          <cell r="K597" t="str">
            <v>₪</v>
          </cell>
          <cell r="L597">
            <v>1000</v>
          </cell>
          <cell r="M597" t="str">
            <v>יח'</v>
          </cell>
          <cell r="N597">
            <v>534.69999999999993</v>
          </cell>
        </row>
        <row r="598">
          <cell r="B598" t="str">
            <v>MS21209C0415
INSERT, HELICAL, 4-40 X 1.5D</v>
          </cell>
          <cell r="C598">
            <v>36348</v>
          </cell>
          <cell r="D598">
            <v>2</v>
          </cell>
          <cell r="E598" t="str">
            <v>קשיח</v>
          </cell>
          <cell r="F598" t="str">
            <v>01.0039</v>
          </cell>
          <cell r="G598">
            <v>45328</v>
          </cell>
          <cell r="H598" t="str">
            <v>01.0039</v>
          </cell>
          <cell r="I598" t="str">
            <v>לוונשטיין טכנולוגיות בע"מ</v>
          </cell>
          <cell r="J598">
            <v>0.53469999999999995</v>
          </cell>
          <cell r="K598" t="str">
            <v>₪</v>
          </cell>
          <cell r="L598">
            <v>2000</v>
          </cell>
          <cell r="M598" t="str">
            <v>יח'</v>
          </cell>
          <cell r="N598">
            <v>1069.3999999999999</v>
          </cell>
        </row>
        <row r="599">
          <cell r="B599" t="str">
            <v>MS21209C0415
INSERT, HELICAL, 4-40 X 1.5D</v>
          </cell>
          <cell r="C599">
            <v>35081</v>
          </cell>
          <cell r="D599">
            <v>4</v>
          </cell>
          <cell r="E599" t="str">
            <v>קשיח</v>
          </cell>
          <cell r="F599" t="str">
            <v>01.0039</v>
          </cell>
          <cell r="G599">
            <v>45180</v>
          </cell>
          <cell r="H599" t="str">
            <v>01.0039</v>
          </cell>
          <cell r="I599" t="str">
            <v>לוונשטיין טכנולוגיות בע"מ</v>
          </cell>
          <cell r="J599">
            <v>0.53010000000000002</v>
          </cell>
          <cell r="K599" t="str">
            <v>₪</v>
          </cell>
          <cell r="L599">
            <v>2000</v>
          </cell>
          <cell r="M599" t="str">
            <v>יח'</v>
          </cell>
          <cell r="N599">
            <v>1060.2</v>
          </cell>
        </row>
        <row r="600">
          <cell r="B600" t="str">
            <v>MS21209C0415
INSERT, HELICAL, 4-40 X 1.5D</v>
          </cell>
          <cell r="C600">
            <v>34076</v>
          </cell>
          <cell r="D600">
            <v>2</v>
          </cell>
          <cell r="E600" t="str">
            <v>קשיח</v>
          </cell>
          <cell r="F600" t="str">
            <v>01.0039</v>
          </cell>
          <cell r="G600">
            <v>45075</v>
          </cell>
          <cell r="H600" t="str">
            <v>01.0039</v>
          </cell>
          <cell r="I600" t="str">
            <v>לוונשטיין טכנולוגיות בע"מ</v>
          </cell>
          <cell r="J600">
            <v>0.53</v>
          </cell>
          <cell r="K600" t="str">
            <v>₪</v>
          </cell>
          <cell r="L600">
            <v>2000</v>
          </cell>
          <cell r="M600" t="str">
            <v>יח'</v>
          </cell>
          <cell r="N600">
            <v>1060</v>
          </cell>
        </row>
        <row r="601">
          <cell r="B601" t="str">
            <v>MS21209C0415
INSERT, HELICAL, 4-40 X 1.5D</v>
          </cell>
          <cell r="C601">
            <v>31955</v>
          </cell>
          <cell r="D601">
            <v>2</v>
          </cell>
          <cell r="E601" t="str">
            <v>קשיח</v>
          </cell>
          <cell r="F601" t="str">
            <v>01.0039</v>
          </cell>
          <cell r="G601">
            <v>44755</v>
          </cell>
          <cell r="H601" t="str">
            <v>01.0039</v>
          </cell>
          <cell r="I601" t="str">
            <v>לוונשטיין טכנולוגיות בע"מ</v>
          </cell>
          <cell r="J601">
            <v>0.49</v>
          </cell>
          <cell r="K601" t="str">
            <v>₪</v>
          </cell>
          <cell r="L601">
            <v>2000</v>
          </cell>
          <cell r="M601" t="str">
            <v>יח'</v>
          </cell>
          <cell r="N601">
            <v>980</v>
          </cell>
        </row>
        <row r="602">
          <cell r="B602" t="str">
            <v>MS21209C0415
INSERT, HELICAL, 4-40 X 1.5D</v>
          </cell>
          <cell r="C602">
            <v>31903</v>
          </cell>
          <cell r="D602">
            <v>1</v>
          </cell>
          <cell r="E602" t="str">
            <v>קשיח</v>
          </cell>
          <cell r="F602" t="str">
            <v>01.0039</v>
          </cell>
          <cell r="G602">
            <v>44748</v>
          </cell>
          <cell r="H602" t="str">
            <v>01.0039</v>
          </cell>
          <cell r="I602" t="str">
            <v>דר טכנולוגיות בע"מ</v>
          </cell>
          <cell r="J602">
            <v>0.45</v>
          </cell>
          <cell r="K602" t="str">
            <v>₪</v>
          </cell>
          <cell r="L602">
            <v>1000</v>
          </cell>
          <cell r="M602" t="str">
            <v>יח'</v>
          </cell>
          <cell r="N602">
            <v>450</v>
          </cell>
        </row>
        <row r="603">
          <cell r="B603" t="str">
            <v>MS21209C0415
INSERT, HELICAL, 4-40 X 1.5D</v>
          </cell>
          <cell r="C603">
            <v>31887</v>
          </cell>
          <cell r="D603">
            <v>1</v>
          </cell>
          <cell r="E603" t="str">
            <v>קשיח</v>
          </cell>
          <cell r="F603" t="str">
            <v>01.0039</v>
          </cell>
          <cell r="G603">
            <v>44746</v>
          </cell>
          <cell r="H603" t="str">
            <v>01.0039</v>
          </cell>
          <cell r="I603" t="str">
            <v>לוונשטיין טכנולוגיות בע"מ</v>
          </cell>
          <cell r="J603">
            <v>0.49</v>
          </cell>
          <cell r="K603" t="str">
            <v>₪</v>
          </cell>
          <cell r="L603">
            <v>1000</v>
          </cell>
          <cell r="M603" t="str">
            <v>יח'</v>
          </cell>
          <cell r="N603">
            <v>490</v>
          </cell>
        </row>
        <row r="604">
          <cell r="B604" t="str">
            <v>MS21209C0415
INSERT, HELICAL, 4-40 X 1.5D</v>
          </cell>
          <cell r="C604">
            <v>25615</v>
          </cell>
          <cell r="D604">
            <v>1</v>
          </cell>
          <cell r="E604" t="str">
            <v>קשיח</v>
          </cell>
          <cell r="F604" t="str">
            <v>01.0039</v>
          </cell>
          <cell r="G604">
            <v>43872</v>
          </cell>
          <cell r="H604" t="str">
            <v>01.0039</v>
          </cell>
          <cell r="I604" t="str">
            <v>ברמיל בע"מ</v>
          </cell>
          <cell r="J604">
            <v>0.6</v>
          </cell>
          <cell r="K604" t="str">
            <v>₪</v>
          </cell>
          <cell r="L604">
            <v>500</v>
          </cell>
          <cell r="M604" t="str">
            <v>יח'</v>
          </cell>
          <cell r="N604">
            <v>300</v>
          </cell>
        </row>
        <row r="605">
          <cell r="B605" t="str">
            <v>MS21209C0415
INSERT, HELICAL, 4-40 X 1.5D</v>
          </cell>
          <cell r="C605">
            <v>24649</v>
          </cell>
          <cell r="D605">
            <v>2</v>
          </cell>
          <cell r="E605" t="str">
            <v>קשיח</v>
          </cell>
          <cell r="F605" t="str">
            <v>01.0039</v>
          </cell>
          <cell r="G605">
            <v>43717</v>
          </cell>
          <cell r="H605" t="str">
            <v>01.0039</v>
          </cell>
          <cell r="I605" t="str">
            <v>דר טכנולוגיות בע"מ</v>
          </cell>
          <cell r="J605">
            <v>0.44030000000000002</v>
          </cell>
          <cell r="K605" t="str">
            <v>₪</v>
          </cell>
          <cell r="L605">
            <v>2000</v>
          </cell>
          <cell r="M605" t="str">
            <v>יח'</v>
          </cell>
          <cell r="N605">
            <v>880.6</v>
          </cell>
        </row>
        <row r="606">
          <cell r="B606" t="str">
            <v>MS21209C0415
INSERT, HELICAL, 4-40 X 1.5D</v>
          </cell>
          <cell r="C606">
            <v>24565</v>
          </cell>
          <cell r="D606">
            <v>1</v>
          </cell>
          <cell r="E606" t="str">
            <v>קשיח</v>
          </cell>
          <cell r="F606" t="str">
            <v>01.0039</v>
          </cell>
          <cell r="G606">
            <v>43699</v>
          </cell>
          <cell r="H606" t="str">
            <v>01.0039</v>
          </cell>
          <cell r="I606" t="str">
            <v>דר טכנולוגיות בע"מ</v>
          </cell>
          <cell r="J606">
            <v>0.4405</v>
          </cell>
          <cell r="K606" t="str">
            <v>₪</v>
          </cell>
          <cell r="L606">
            <v>1000</v>
          </cell>
          <cell r="M606" t="str">
            <v>יח'</v>
          </cell>
          <cell r="N606">
            <v>440.5</v>
          </cell>
        </row>
        <row r="607">
          <cell r="B607" t="str">
            <v>MS21209C0415
INSERT, HELICAL, 4-40 X 1.5D</v>
          </cell>
          <cell r="C607">
            <v>24161</v>
          </cell>
          <cell r="D607">
            <v>2</v>
          </cell>
          <cell r="E607" t="str">
            <v>קשיח</v>
          </cell>
          <cell r="F607" t="str">
            <v>01.0039</v>
          </cell>
          <cell r="G607">
            <v>43664</v>
          </cell>
          <cell r="H607" t="str">
            <v>01.0039</v>
          </cell>
          <cell r="I607" t="str">
            <v>דר טכנולוגיות בע"מ</v>
          </cell>
          <cell r="J607">
            <v>0.44</v>
          </cell>
          <cell r="K607" t="str">
            <v>₪</v>
          </cell>
          <cell r="L607">
            <v>1000</v>
          </cell>
          <cell r="M607" t="str">
            <v>יח'</v>
          </cell>
          <cell r="N607">
            <v>440</v>
          </cell>
        </row>
        <row r="608">
          <cell r="B608" t="str">
            <v>MS21209C0415
INSERT, HELICAL, 4-40 X 1.5D</v>
          </cell>
          <cell r="C608">
            <v>23933</v>
          </cell>
          <cell r="D608">
            <v>2</v>
          </cell>
          <cell r="E608" t="str">
            <v>קשיח</v>
          </cell>
          <cell r="F608" t="str">
            <v>01.0039</v>
          </cell>
          <cell r="G608">
            <v>43621</v>
          </cell>
          <cell r="H608" t="str">
            <v>01.0039</v>
          </cell>
          <cell r="I608" t="str">
            <v>ברמיל בע"מ</v>
          </cell>
          <cell r="J608">
            <v>0.43</v>
          </cell>
          <cell r="K608" t="str">
            <v>₪</v>
          </cell>
          <cell r="L608">
            <v>1000</v>
          </cell>
          <cell r="M608" t="str">
            <v>יח'</v>
          </cell>
          <cell r="N608">
            <v>430</v>
          </cell>
        </row>
        <row r="609">
          <cell r="B609" t="str">
            <v>MS21209C0415
INSERT, HELICAL, 4-40 X 1.5D</v>
          </cell>
          <cell r="C609">
            <v>23536</v>
          </cell>
          <cell r="D609">
            <v>1</v>
          </cell>
          <cell r="E609" t="str">
            <v>קשיח</v>
          </cell>
          <cell r="F609" t="str">
            <v>01.0039</v>
          </cell>
          <cell r="G609">
            <v>43577</v>
          </cell>
          <cell r="H609" t="str">
            <v>01.0039</v>
          </cell>
          <cell r="I609" t="str">
            <v>דר טכנולוגיות בע"מ</v>
          </cell>
          <cell r="J609">
            <v>0.45</v>
          </cell>
          <cell r="K609" t="str">
            <v>₪</v>
          </cell>
          <cell r="L609">
            <v>1000</v>
          </cell>
          <cell r="M609" t="str">
            <v>יח'</v>
          </cell>
          <cell r="N609">
            <v>450</v>
          </cell>
        </row>
        <row r="610">
          <cell r="B610" t="str">
            <v>MS21209C0415
INSERT, HELICAL, 4-40 X 1.5D</v>
          </cell>
          <cell r="C610">
            <v>3040</v>
          </cell>
          <cell r="D610">
            <v>1</v>
          </cell>
          <cell r="E610" t="str">
            <v>קשיח</v>
          </cell>
          <cell r="F610" t="str">
            <v>01.0039</v>
          </cell>
          <cell r="G610">
            <v>41458</v>
          </cell>
          <cell r="H610" t="str">
            <v>01.0039</v>
          </cell>
          <cell r="I610" t="str">
            <v>לוונשטיין טכנולוגיות</v>
          </cell>
          <cell r="J610">
            <v>0.499</v>
          </cell>
          <cell r="K610" t="str">
            <v>₪</v>
          </cell>
          <cell r="L610">
            <v>500</v>
          </cell>
          <cell r="M610" t="str">
            <v>יח'</v>
          </cell>
          <cell r="N610">
            <v>249.5</v>
          </cell>
        </row>
        <row r="611">
          <cell r="B611" t="str">
            <v>MS21209C0615, INSERT, HELICAL, 6-32 X 1.5D</v>
          </cell>
          <cell r="C611">
            <v>39046</v>
          </cell>
          <cell r="D611">
            <v>3</v>
          </cell>
          <cell r="E611" t="str">
            <v>קשיח</v>
          </cell>
          <cell r="F611" t="str">
            <v>01.0040</v>
          </cell>
          <cell r="G611">
            <v>45630</v>
          </cell>
          <cell r="H611" t="str">
            <v>01.0040</v>
          </cell>
          <cell r="I611" t="str">
            <v>לוונשטיין טכנולוגיות בע"מ</v>
          </cell>
          <cell r="J611">
            <v>0.4844</v>
          </cell>
          <cell r="K611" t="str">
            <v>₪</v>
          </cell>
          <cell r="L611">
            <v>1000</v>
          </cell>
          <cell r="M611" t="str">
            <v>יח'</v>
          </cell>
          <cell r="N611">
            <v>484.4</v>
          </cell>
        </row>
        <row r="612">
          <cell r="B612" t="str">
            <v>MS21209C0615, INSERT, HELICAL, 6-32 X 1.5D</v>
          </cell>
          <cell r="C612">
            <v>36348</v>
          </cell>
          <cell r="D612">
            <v>3</v>
          </cell>
          <cell r="E612" t="str">
            <v>קשיח</v>
          </cell>
          <cell r="F612" t="str">
            <v>01.0040</v>
          </cell>
          <cell r="G612">
            <v>45328</v>
          </cell>
          <cell r="H612" t="str">
            <v>01.0040</v>
          </cell>
          <cell r="I612" t="str">
            <v>לוונשטיין טכנולוגיות בע"מ</v>
          </cell>
          <cell r="J612">
            <v>0.48399999999999999</v>
          </cell>
          <cell r="K612" t="str">
            <v>₪</v>
          </cell>
          <cell r="L612">
            <v>2000</v>
          </cell>
          <cell r="M612" t="str">
            <v>יח'</v>
          </cell>
          <cell r="N612">
            <v>968</v>
          </cell>
        </row>
        <row r="613">
          <cell r="B613" t="str">
            <v>MS21209C0615, INSERT, HELICAL, 6-32 X 1.5D</v>
          </cell>
          <cell r="C613">
            <v>35845</v>
          </cell>
          <cell r="D613">
            <v>4</v>
          </cell>
          <cell r="E613" t="str">
            <v>קשיח</v>
          </cell>
          <cell r="F613" t="str">
            <v>01.0040</v>
          </cell>
          <cell r="G613">
            <v>45278</v>
          </cell>
          <cell r="H613" t="str">
            <v>01.0040</v>
          </cell>
          <cell r="I613" t="str">
            <v>לוונשטיין טכנולוגיות בע"מ</v>
          </cell>
          <cell r="J613">
            <v>0.47989999999999999</v>
          </cell>
          <cell r="K613" t="str">
            <v>₪</v>
          </cell>
          <cell r="L613">
            <v>1000</v>
          </cell>
          <cell r="M613" t="str">
            <v>יח'</v>
          </cell>
          <cell r="N613">
            <v>479.9</v>
          </cell>
        </row>
        <row r="614">
          <cell r="B614" t="str">
            <v>MS21209C0615, INSERT, HELICAL, 6-32 X 1.5D</v>
          </cell>
          <cell r="C614">
            <v>35627</v>
          </cell>
          <cell r="D614">
            <v>5</v>
          </cell>
          <cell r="E614" t="str">
            <v>קשיח</v>
          </cell>
          <cell r="F614" t="str">
            <v>01.0040</v>
          </cell>
          <cell r="G614">
            <v>45253</v>
          </cell>
          <cell r="H614" t="str">
            <v>01.0040</v>
          </cell>
          <cell r="I614" t="str">
            <v>לוונשטיין טכנולוגיות בע"מ</v>
          </cell>
          <cell r="J614">
            <v>0.48</v>
          </cell>
          <cell r="K614" t="str">
            <v>₪</v>
          </cell>
          <cell r="L614">
            <v>5000</v>
          </cell>
          <cell r="M614" t="str">
            <v>יח'</v>
          </cell>
          <cell r="N614">
            <v>2400</v>
          </cell>
        </row>
        <row r="615">
          <cell r="B615" t="str">
            <v>MS21209C0615, INSERT, HELICAL, 6-32 X 1.5D</v>
          </cell>
          <cell r="C615">
            <v>34076</v>
          </cell>
          <cell r="D615">
            <v>3</v>
          </cell>
          <cell r="E615" t="str">
            <v>קשיח</v>
          </cell>
          <cell r="F615" t="str">
            <v>01.0040</v>
          </cell>
          <cell r="G615">
            <v>45075</v>
          </cell>
          <cell r="H615" t="str">
            <v>01.0040</v>
          </cell>
          <cell r="I615" t="str">
            <v>לוונשטיין טכנולוגיות בע"מ</v>
          </cell>
          <cell r="J615">
            <v>0.5</v>
          </cell>
          <cell r="K615" t="str">
            <v>₪</v>
          </cell>
          <cell r="L615">
            <v>2000</v>
          </cell>
          <cell r="M615" t="str">
            <v>יח'</v>
          </cell>
          <cell r="N615">
            <v>1000</v>
          </cell>
        </row>
        <row r="616">
          <cell r="B616" t="str">
            <v>MS21209C0615, INSERT, HELICAL, 6-32 X 1.5D</v>
          </cell>
          <cell r="C616">
            <v>33784</v>
          </cell>
          <cell r="D616">
            <v>2</v>
          </cell>
          <cell r="E616" t="str">
            <v>קשיח</v>
          </cell>
          <cell r="F616" t="str">
            <v>01.0040</v>
          </cell>
          <cell r="G616">
            <v>45039</v>
          </cell>
          <cell r="H616" t="str">
            <v>01.0040</v>
          </cell>
          <cell r="I616" t="str">
            <v>לוונשטיין טכנולוגיות בע"מ</v>
          </cell>
          <cell r="J616">
            <v>0.5</v>
          </cell>
          <cell r="K616" t="str">
            <v>₪</v>
          </cell>
          <cell r="L616">
            <v>2000</v>
          </cell>
          <cell r="M616" t="str">
            <v>יח'</v>
          </cell>
          <cell r="N616">
            <v>1000</v>
          </cell>
        </row>
        <row r="617">
          <cell r="B617" t="str">
            <v>MS21209C0615, INSERT, HELICAL, 6-32 X 1.5D</v>
          </cell>
          <cell r="C617">
            <v>28270</v>
          </cell>
          <cell r="D617">
            <v>2</v>
          </cell>
          <cell r="E617" t="str">
            <v>קשיח</v>
          </cell>
          <cell r="F617" t="str">
            <v>01.0040</v>
          </cell>
          <cell r="G617">
            <v>44250</v>
          </cell>
          <cell r="H617" t="str">
            <v>01.0040</v>
          </cell>
          <cell r="I617" t="str">
            <v>לוונשטיין טכנולוגיות</v>
          </cell>
          <cell r="J617">
            <v>0.48</v>
          </cell>
          <cell r="K617" t="str">
            <v>₪</v>
          </cell>
          <cell r="L617">
            <v>1000</v>
          </cell>
          <cell r="M617" t="str">
            <v>יח'</v>
          </cell>
          <cell r="N617">
            <v>480</v>
          </cell>
        </row>
        <row r="618">
          <cell r="B618" t="str">
            <v>MS21209C0410
INSERT, HELICAL, 4-40 X 1D</v>
          </cell>
          <cell r="C618">
            <v>40251</v>
          </cell>
          <cell r="D618">
            <v>1</v>
          </cell>
          <cell r="E618" t="str">
            <v>קשיח</v>
          </cell>
          <cell r="F618" t="str">
            <v>01.0041</v>
          </cell>
          <cell r="G618">
            <v>45739</v>
          </cell>
          <cell r="H618" t="str">
            <v>01.0041</v>
          </cell>
          <cell r="I618" t="str">
            <v>דר טכנולוגיות בע"מ</v>
          </cell>
          <cell r="J618">
            <v>0.45</v>
          </cell>
          <cell r="K618" t="str">
            <v>₪</v>
          </cell>
          <cell r="L618">
            <v>2000</v>
          </cell>
          <cell r="M618" t="str">
            <v>יח'</v>
          </cell>
          <cell r="N618">
            <v>900</v>
          </cell>
        </row>
        <row r="619">
          <cell r="B619" t="str">
            <v>MS21209C0410
INSERT, HELICAL, 4-40 X 1D</v>
          </cell>
          <cell r="C619">
            <v>40016</v>
          </cell>
          <cell r="D619">
            <v>1</v>
          </cell>
          <cell r="E619" t="str">
            <v>קשיח</v>
          </cell>
          <cell r="F619" t="str">
            <v>01.0041</v>
          </cell>
          <cell r="G619">
            <v>45718</v>
          </cell>
          <cell r="H619" t="str">
            <v>01.0041</v>
          </cell>
          <cell r="I619" t="str">
            <v>דר טכנולוגיות בע"מ</v>
          </cell>
          <cell r="J619">
            <v>0.45</v>
          </cell>
          <cell r="K619" t="str">
            <v>₪</v>
          </cell>
          <cell r="L619">
            <v>7000</v>
          </cell>
          <cell r="M619" t="str">
            <v>יח'</v>
          </cell>
          <cell r="N619">
            <v>3150</v>
          </cell>
        </row>
        <row r="620">
          <cell r="B620" t="str">
            <v>MS21209C0410
INSERT, HELICAL, 4-40 X 1D</v>
          </cell>
          <cell r="C620">
            <v>39816</v>
          </cell>
          <cell r="D620">
            <v>1</v>
          </cell>
          <cell r="E620" t="str">
            <v>קשיח</v>
          </cell>
          <cell r="F620" t="str">
            <v>01.0041</v>
          </cell>
          <cell r="G620">
            <v>45700</v>
          </cell>
          <cell r="H620" t="str">
            <v>01.0041</v>
          </cell>
          <cell r="I620" t="str">
            <v>לוונשטיין טכנולוגיות בע"מ</v>
          </cell>
          <cell r="J620">
            <v>0.50339999999999996</v>
          </cell>
          <cell r="K620" t="str">
            <v>₪</v>
          </cell>
          <cell r="L620">
            <v>3000</v>
          </cell>
          <cell r="M620" t="str">
            <v>יח'</v>
          </cell>
          <cell r="N620">
            <v>1510.1999999999998</v>
          </cell>
        </row>
        <row r="621">
          <cell r="B621" t="str">
            <v>MS21209C0410
INSERT, HELICAL, 4-40 X 1D</v>
          </cell>
          <cell r="C621">
            <v>39482</v>
          </cell>
          <cell r="D621">
            <v>1</v>
          </cell>
          <cell r="E621" t="str">
            <v>קשיח</v>
          </cell>
          <cell r="F621" t="str">
            <v>01.0041</v>
          </cell>
          <cell r="G621">
            <v>45670</v>
          </cell>
          <cell r="H621" t="str">
            <v>01.0041</v>
          </cell>
          <cell r="I621" t="str">
            <v>לוונשטיין טכנולוגיות בע"מ</v>
          </cell>
          <cell r="J621">
            <v>0.49990000000000001</v>
          </cell>
          <cell r="K621" t="str">
            <v>₪</v>
          </cell>
          <cell r="L621">
            <v>1000</v>
          </cell>
          <cell r="M621" t="str">
            <v>יח'</v>
          </cell>
          <cell r="N621">
            <v>499.90000000000003</v>
          </cell>
        </row>
        <row r="622">
          <cell r="B622" t="str">
            <v>MS21209C0410
INSERT, HELICAL, 4-40 X 1D</v>
          </cell>
          <cell r="C622">
            <v>39365</v>
          </cell>
          <cell r="D622">
            <v>1</v>
          </cell>
          <cell r="E622" t="str">
            <v>קשיח</v>
          </cell>
          <cell r="F622" t="str">
            <v>01.0041</v>
          </cell>
          <cell r="G622">
            <v>45662</v>
          </cell>
          <cell r="H622" t="str">
            <v>01.0041</v>
          </cell>
          <cell r="I622" t="str">
            <v>לוונשטיין טכנולוגיות בע"מ</v>
          </cell>
          <cell r="J622">
            <v>0.5</v>
          </cell>
          <cell r="K622" t="str">
            <v>₪</v>
          </cell>
          <cell r="L622">
            <v>1170</v>
          </cell>
          <cell r="M622" t="str">
            <v>יח'</v>
          </cell>
          <cell r="N622">
            <v>585</v>
          </cell>
        </row>
        <row r="623">
          <cell r="B623" t="str">
            <v>MS21209C0410
INSERT, HELICAL, 4-40 X 1D</v>
          </cell>
          <cell r="C623">
            <v>39365</v>
          </cell>
          <cell r="D623">
            <v>2</v>
          </cell>
          <cell r="E623" t="str">
            <v>קשיח</v>
          </cell>
          <cell r="F623" t="str">
            <v>01.0041</v>
          </cell>
          <cell r="G623">
            <v>45662</v>
          </cell>
          <cell r="H623" t="str">
            <v>01.0041</v>
          </cell>
          <cell r="I623" t="str">
            <v>לוונשטיין טכנולוגיות בע"מ</v>
          </cell>
          <cell r="J623">
            <v>0.5</v>
          </cell>
          <cell r="K623" t="str">
            <v>₪</v>
          </cell>
          <cell r="L623">
            <v>80</v>
          </cell>
          <cell r="M623" t="str">
            <v>יח'</v>
          </cell>
          <cell r="N623">
            <v>40</v>
          </cell>
        </row>
        <row r="624">
          <cell r="B624" t="str">
            <v>MS21209C0410
INSERT, HELICAL, 4-40 X 1D</v>
          </cell>
          <cell r="C624">
            <v>39365</v>
          </cell>
          <cell r="D624">
            <v>3</v>
          </cell>
          <cell r="E624" t="str">
            <v>קשיח</v>
          </cell>
          <cell r="F624" t="str">
            <v>01.0041</v>
          </cell>
          <cell r="G624">
            <v>45662</v>
          </cell>
          <cell r="H624" t="str">
            <v>01.0041</v>
          </cell>
          <cell r="I624" t="str">
            <v>לוונשטיין טכנולוגיות בע"מ</v>
          </cell>
          <cell r="J624">
            <v>0.5</v>
          </cell>
          <cell r="K624" t="str">
            <v>₪</v>
          </cell>
          <cell r="L624">
            <v>750</v>
          </cell>
          <cell r="M624" t="str">
            <v>יח'</v>
          </cell>
          <cell r="N624">
            <v>375</v>
          </cell>
        </row>
        <row r="625">
          <cell r="B625" t="str">
            <v>MS21209C0410
INSERT, HELICAL, 4-40 X 1D</v>
          </cell>
          <cell r="C625">
            <v>39042</v>
          </cell>
          <cell r="D625">
            <v>2</v>
          </cell>
          <cell r="E625" t="str">
            <v>קשיח</v>
          </cell>
          <cell r="F625" t="str">
            <v>01.0041</v>
          </cell>
          <cell r="G625">
            <v>45630</v>
          </cell>
          <cell r="H625" t="str">
            <v>01.0041</v>
          </cell>
          <cell r="I625" t="str">
            <v>דר טכנולוגיות בע"מ</v>
          </cell>
          <cell r="J625">
            <v>0.48</v>
          </cell>
          <cell r="K625" t="str">
            <v>₪</v>
          </cell>
          <cell r="L625">
            <v>2000</v>
          </cell>
          <cell r="M625" t="str">
            <v>יח'</v>
          </cell>
          <cell r="N625">
            <v>960</v>
          </cell>
        </row>
        <row r="626">
          <cell r="B626" t="str">
            <v>MS21209C0410
INSERT, HELICAL, 4-40 X 1D</v>
          </cell>
          <cell r="C626">
            <v>39046</v>
          </cell>
          <cell r="D626">
            <v>1</v>
          </cell>
          <cell r="E626" t="str">
            <v>קשיח</v>
          </cell>
          <cell r="F626" t="str">
            <v>01.0041</v>
          </cell>
          <cell r="G626">
            <v>45630</v>
          </cell>
          <cell r="H626" t="str">
            <v>01.0041</v>
          </cell>
          <cell r="I626" t="str">
            <v>לוונשטיין טכנולוגיות בע"מ</v>
          </cell>
          <cell r="J626">
            <v>0.47460000000000002</v>
          </cell>
          <cell r="K626" t="str">
            <v>₪</v>
          </cell>
          <cell r="L626">
            <v>2000</v>
          </cell>
          <cell r="M626" t="str">
            <v>יח'</v>
          </cell>
          <cell r="N626">
            <v>949.2</v>
          </cell>
        </row>
        <row r="627">
          <cell r="B627" t="str">
            <v>MS21209C0410
INSERT, HELICAL, 4-40 X 1D</v>
          </cell>
          <cell r="C627">
            <v>36348</v>
          </cell>
          <cell r="D627">
            <v>1</v>
          </cell>
          <cell r="E627" t="str">
            <v>קשיח</v>
          </cell>
          <cell r="F627" t="str">
            <v>01.0041</v>
          </cell>
          <cell r="G627">
            <v>45328</v>
          </cell>
          <cell r="H627" t="str">
            <v>01.0041</v>
          </cell>
          <cell r="I627" t="str">
            <v>לוונשטיין טכנולוגיות בע"מ</v>
          </cell>
          <cell r="J627">
            <v>0.47410000000000002</v>
          </cell>
          <cell r="K627" t="str">
            <v>₪</v>
          </cell>
          <cell r="L627">
            <v>2000</v>
          </cell>
          <cell r="M627" t="str">
            <v>יח'</v>
          </cell>
          <cell r="N627">
            <v>948.2</v>
          </cell>
        </row>
        <row r="628">
          <cell r="B628" t="str">
            <v>MS21209C0410
INSERT, HELICAL, 4-40 X 1D</v>
          </cell>
          <cell r="C628">
            <v>35627</v>
          </cell>
          <cell r="D628">
            <v>4</v>
          </cell>
          <cell r="E628" t="str">
            <v>קשיח</v>
          </cell>
          <cell r="F628" t="str">
            <v>01.0041</v>
          </cell>
          <cell r="G628">
            <v>45253</v>
          </cell>
          <cell r="H628" t="str">
            <v>01.0041</v>
          </cell>
          <cell r="I628" t="str">
            <v>לוונשטיין טכנולוגיות בע"מ</v>
          </cell>
          <cell r="J628">
            <v>0.47</v>
          </cell>
          <cell r="K628" t="str">
            <v>₪</v>
          </cell>
          <cell r="L628">
            <v>14000</v>
          </cell>
          <cell r="M628" t="str">
            <v>יח'</v>
          </cell>
          <cell r="N628">
            <v>6580</v>
          </cell>
        </row>
        <row r="629">
          <cell r="B629" t="str">
            <v>MS21209C0410
INSERT, HELICAL, 4-40 X 1D</v>
          </cell>
          <cell r="C629">
            <v>35338</v>
          </cell>
          <cell r="D629">
            <v>1</v>
          </cell>
          <cell r="E629" t="str">
            <v>קשיח</v>
          </cell>
          <cell r="F629" t="str">
            <v>01.0041</v>
          </cell>
          <cell r="G629">
            <v>45216</v>
          </cell>
          <cell r="H629" t="str">
            <v>01.0041</v>
          </cell>
          <cell r="I629" t="str">
            <v>לוונשטיין טכנולוגיות בע"מ</v>
          </cell>
          <cell r="J629">
            <v>0.52669999999999995</v>
          </cell>
          <cell r="K629" t="str">
            <v>₪</v>
          </cell>
          <cell r="L629">
            <v>5000</v>
          </cell>
          <cell r="M629" t="str">
            <v>יח'</v>
          </cell>
          <cell r="N629">
            <v>2633.4999999999995</v>
          </cell>
        </row>
        <row r="630">
          <cell r="B630" t="str">
            <v>MS21209C0410
INSERT, HELICAL, 4-40 X 1D</v>
          </cell>
          <cell r="C630">
            <v>35191</v>
          </cell>
          <cell r="D630">
            <v>1</v>
          </cell>
          <cell r="E630" t="str">
            <v>קשיח</v>
          </cell>
          <cell r="F630" t="str">
            <v>01.0041</v>
          </cell>
          <cell r="G630">
            <v>45197</v>
          </cell>
          <cell r="H630" t="str">
            <v>01.0041</v>
          </cell>
          <cell r="I630" t="str">
            <v>לוונשטיין טכנולוגיות בע"מ</v>
          </cell>
          <cell r="J630">
            <v>0.52410000000000001</v>
          </cell>
          <cell r="K630" t="str">
            <v>₪</v>
          </cell>
          <cell r="L630">
            <v>3000</v>
          </cell>
          <cell r="M630" t="str">
            <v>יח'</v>
          </cell>
          <cell r="N630">
            <v>1572.3</v>
          </cell>
        </row>
        <row r="631">
          <cell r="B631" t="str">
            <v>MS21209C0410
INSERT, HELICAL, 4-40 X 1D</v>
          </cell>
          <cell r="C631">
            <v>34076</v>
          </cell>
          <cell r="D631">
            <v>1</v>
          </cell>
          <cell r="E631" t="str">
            <v>קשיח</v>
          </cell>
          <cell r="F631" t="str">
            <v>01.0041</v>
          </cell>
          <cell r="G631">
            <v>45075</v>
          </cell>
          <cell r="H631" t="str">
            <v>01.0041</v>
          </cell>
          <cell r="I631" t="str">
            <v>לוונשטיין טכנולוגיות בע"מ</v>
          </cell>
          <cell r="J631">
            <v>0.52</v>
          </cell>
          <cell r="K631" t="str">
            <v>₪</v>
          </cell>
          <cell r="L631">
            <v>6000</v>
          </cell>
          <cell r="M631" t="str">
            <v>יח'</v>
          </cell>
          <cell r="N631">
            <v>3120</v>
          </cell>
        </row>
        <row r="632">
          <cell r="B632" t="str">
            <v>MS21209C0410
INSERT, HELICAL, 4-40 X 1D</v>
          </cell>
          <cell r="C632">
            <v>32917</v>
          </cell>
          <cell r="D632">
            <v>1</v>
          </cell>
          <cell r="E632" t="str">
            <v>קשיח</v>
          </cell>
          <cell r="F632" t="str">
            <v>01.0041</v>
          </cell>
          <cell r="G632">
            <v>44896</v>
          </cell>
          <cell r="H632" t="str">
            <v>01.0041</v>
          </cell>
          <cell r="I632" t="str">
            <v>דר טכנולוגיות בע"מ</v>
          </cell>
          <cell r="J632">
            <v>0.46</v>
          </cell>
          <cell r="K632" t="str">
            <v>₪</v>
          </cell>
          <cell r="L632">
            <v>1000</v>
          </cell>
          <cell r="M632" t="str">
            <v>יח'</v>
          </cell>
          <cell r="N632">
            <v>460</v>
          </cell>
        </row>
        <row r="633">
          <cell r="B633" t="str">
            <v>MS21209C0410
INSERT, HELICAL, 4-40 X 1D</v>
          </cell>
          <cell r="C633">
            <v>32151</v>
          </cell>
          <cell r="D633">
            <v>1</v>
          </cell>
          <cell r="E633" t="str">
            <v>קשיח</v>
          </cell>
          <cell r="F633" t="str">
            <v>01.0041</v>
          </cell>
          <cell r="G633">
            <v>44782</v>
          </cell>
          <cell r="H633" t="str">
            <v>01.0041</v>
          </cell>
          <cell r="I633" t="str">
            <v>לוונשטיין טכנולוגיות בע"מ</v>
          </cell>
          <cell r="J633">
            <v>0.4788</v>
          </cell>
          <cell r="K633" t="str">
            <v>₪</v>
          </cell>
          <cell r="L633">
            <v>2000</v>
          </cell>
          <cell r="M633" t="str">
            <v>יח'</v>
          </cell>
          <cell r="N633">
            <v>957.6</v>
          </cell>
        </row>
        <row r="634">
          <cell r="B634" t="str">
            <v>MS21209C0410
INSERT, HELICAL, 4-40 X 1D</v>
          </cell>
          <cell r="C634">
            <v>28270</v>
          </cell>
          <cell r="D634">
            <v>3</v>
          </cell>
          <cell r="E634" t="str">
            <v>קשיח</v>
          </cell>
          <cell r="F634" t="str">
            <v>01.0041</v>
          </cell>
          <cell r="G634">
            <v>44250</v>
          </cell>
          <cell r="H634" t="str">
            <v>01.0041</v>
          </cell>
          <cell r="I634" t="str">
            <v>לוונשטיין טכנולוגיות</v>
          </cell>
          <cell r="J634">
            <v>0.48</v>
          </cell>
          <cell r="K634" t="str">
            <v>₪</v>
          </cell>
          <cell r="L634">
            <v>2000</v>
          </cell>
          <cell r="M634" t="str">
            <v>יח'</v>
          </cell>
          <cell r="N634">
            <v>960</v>
          </cell>
        </row>
        <row r="635">
          <cell r="B635" t="str">
            <v>MS21209C0410
INSERT, HELICAL, 4-40 X 1D</v>
          </cell>
          <cell r="C635">
            <v>3127</v>
          </cell>
          <cell r="D635">
            <v>2</v>
          </cell>
          <cell r="E635" t="str">
            <v>קשיח</v>
          </cell>
          <cell r="F635" t="str">
            <v>01.0041</v>
          </cell>
          <cell r="G635">
            <v>41473</v>
          </cell>
          <cell r="H635" t="str">
            <v>01.0041</v>
          </cell>
          <cell r="I635" t="str">
            <v>לוונשטיין טכנולוגיות</v>
          </cell>
          <cell r="J635">
            <v>0.47</v>
          </cell>
          <cell r="K635" t="str">
            <v>₪</v>
          </cell>
          <cell r="L635">
            <v>1000</v>
          </cell>
          <cell r="M635" t="str">
            <v>יח'</v>
          </cell>
          <cell r="N635">
            <v>470</v>
          </cell>
        </row>
        <row r="636">
          <cell r="B636" t="str">
            <v xml:space="preserve"> Helicoil M2*1d /MA3279-140/1084-2CN020</v>
          </cell>
          <cell r="C636">
            <v>42881</v>
          </cell>
          <cell r="D636">
            <v>3</v>
          </cell>
          <cell r="E636" t="str">
            <v>קשיח</v>
          </cell>
          <cell r="F636" t="str">
            <v>01.0042</v>
          </cell>
          <cell r="G636">
            <v>45992</v>
          </cell>
          <cell r="H636" t="str">
            <v>01.0042</v>
          </cell>
          <cell r="I636" t="str">
            <v>דר טכנולוגיות בע"מ</v>
          </cell>
          <cell r="J636">
            <v>0.9</v>
          </cell>
          <cell r="K636" t="str">
            <v>₪</v>
          </cell>
          <cell r="L636">
            <v>200</v>
          </cell>
          <cell r="M636" t="str">
            <v>יח'</v>
          </cell>
          <cell r="N636">
            <v>180</v>
          </cell>
        </row>
        <row r="637">
          <cell r="B637" t="str">
            <v xml:space="preserve"> Helicoil M2*1d /MA3279-140/1084-2CN020</v>
          </cell>
          <cell r="C637">
            <v>42684</v>
          </cell>
          <cell r="D637">
            <v>3</v>
          </cell>
          <cell r="E637" t="str">
            <v>קשיח</v>
          </cell>
          <cell r="F637" t="str">
            <v>01.0042</v>
          </cell>
          <cell r="G637">
            <v>45974</v>
          </cell>
          <cell r="H637" t="str">
            <v>01.0042</v>
          </cell>
          <cell r="I637" t="str">
            <v>דר טכנולוגיות בע"מ</v>
          </cell>
          <cell r="J637">
            <v>0.9</v>
          </cell>
          <cell r="K637" t="str">
            <v>₪</v>
          </cell>
          <cell r="L637">
            <v>200</v>
          </cell>
          <cell r="M637" t="str">
            <v>יח'</v>
          </cell>
          <cell r="N637">
            <v>180</v>
          </cell>
        </row>
        <row r="638">
          <cell r="B638" t="str">
            <v xml:space="preserve"> Helicoil M2*1d /MA3279-140/1084-2CN020</v>
          </cell>
          <cell r="C638">
            <v>36341</v>
          </cell>
          <cell r="D638">
            <v>1</v>
          </cell>
          <cell r="E638" t="str">
            <v>קשיח</v>
          </cell>
          <cell r="F638" t="str">
            <v>01.0042</v>
          </cell>
          <cell r="G638">
            <v>45327</v>
          </cell>
          <cell r="H638" t="str">
            <v>01.0042</v>
          </cell>
          <cell r="I638" t="str">
            <v>לוונשטיין טכנולוגיות בע"מ</v>
          </cell>
          <cell r="J638">
            <v>0.45</v>
          </cell>
          <cell r="K638" t="str">
            <v>₪</v>
          </cell>
          <cell r="L638">
            <v>1000</v>
          </cell>
          <cell r="M638" t="str">
            <v>יח'</v>
          </cell>
          <cell r="N638">
            <v>450</v>
          </cell>
        </row>
        <row r="639">
          <cell r="B639" t="str">
            <v xml:space="preserve"> Helicoil M2*1d /MA3279-140/1084-2CN020</v>
          </cell>
          <cell r="C639">
            <v>27353</v>
          </cell>
          <cell r="D639">
            <v>1</v>
          </cell>
          <cell r="E639" t="str">
            <v>קשיח</v>
          </cell>
          <cell r="F639" t="str">
            <v>01.0042</v>
          </cell>
          <cell r="G639">
            <v>44125</v>
          </cell>
          <cell r="H639" t="str">
            <v>01.0042</v>
          </cell>
          <cell r="I639" t="str">
            <v>לוונשטיין טכנולוגיות</v>
          </cell>
          <cell r="J639">
            <v>0.45</v>
          </cell>
          <cell r="K639" t="str">
            <v>₪</v>
          </cell>
          <cell r="L639">
            <v>1000</v>
          </cell>
          <cell r="M639" t="str">
            <v>יח'</v>
          </cell>
          <cell r="N639">
            <v>450</v>
          </cell>
        </row>
        <row r="640">
          <cell r="B640" t="str">
            <v xml:space="preserve"> Helicoil M2*1d /MA3279-140/1084-2CN020</v>
          </cell>
          <cell r="C640">
            <v>27169</v>
          </cell>
          <cell r="D640">
            <v>2</v>
          </cell>
          <cell r="E640" t="str">
            <v>קשיח</v>
          </cell>
          <cell r="F640" t="str">
            <v>01.0042</v>
          </cell>
          <cell r="G640">
            <v>44098</v>
          </cell>
          <cell r="H640" t="str">
            <v>01.0042</v>
          </cell>
          <cell r="I640" t="str">
            <v>גין מהנדסים בע"מ</v>
          </cell>
          <cell r="J640">
            <v>0.4</v>
          </cell>
          <cell r="K640" t="str">
            <v>₪</v>
          </cell>
          <cell r="L640">
            <v>500</v>
          </cell>
          <cell r="M640" t="str">
            <v>יח'</v>
          </cell>
          <cell r="N640">
            <v>200</v>
          </cell>
        </row>
        <row r="641">
          <cell r="B641" t="str">
            <v xml:space="preserve"> Helicoil M2*1d /MA3279-140/1084-2CN020</v>
          </cell>
          <cell r="C641">
            <v>27138</v>
          </cell>
          <cell r="D641">
            <v>2</v>
          </cell>
          <cell r="E641" t="str">
            <v>קשיח</v>
          </cell>
          <cell r="F641" t="str">
            <v>01.0042</v>
          </cell>
          <cell r="G641">
            <v>44096</v>
          </cell>
          <cell r="H641" t="str">
            <v>01.0042</v>
          </cell>
          <cell r="I641" t="str">
            <v>לוונשטיין טכנולוגיות</v>
          </cell>
          <cell r="J641">
            <v>0.5</v>
          </cell>
          <cell r="K641" t="str">
            <v>₪</v>
          </cell>
          <cell r="L641">
            <v>500</v>
          </cell>
          <cell r="M641" t="str">
            <v>יח'</v>
          </cell>
          <cell r="N641">
            <v>250</v>
          </cell>
        </row>
        <row r="642">
          <cell r="B642" t="str">
            <v xml:space="preserve"> Helicoil M2*1d /MA3279-140/1084-2CN020</v>
          </cell>
          <cell r="C642">
            <v>23915</v>
          </cell>
          <cell r="D642">
            <v>2</v>
          </cell>
          <cell r="E642" t="str">
            <v>קשיח</v>
          </cell>
          <cell r="F642" t="str">
            <v>01.0042</v>
          </cell>
          <cell r="G642">
            <v>43621</v>
          </cell>
          <cell r="H642" t="str">
            <v>01.0042</v>
          </cell>
          <cell r="I642" t="str">
            <v>ברמיל בע"מ</v>
          </cell>
          <cell r="J642">
            <v>1.6</v>
          </cell>
          <cell r="K642" t="str">
            <v>₪</v>
          </cell>
          <cell r="L642">
            <v>300</v>
          </cell>
          <cell r="M642" t="str">
            <v>יח'</v>
          </cell>
          <cell r="N642">
            <v>480</v>
          </cell>
        </row>
        <row r="643">
          <cell r="B643" t="str">
            <v>MS21209CO815
INSERT, HELICAL</v>
          </cell>
          <cell r="C643">
            <v>36283</v>
          </cell>
          <cell r="D643">
            <v>1</v>
          </cell>
          <cell r="E643" t="str">
            <v>קשיח</v>
          </cell>
          <cell r="F643" t="str">
            <v>01.0044</v>
          </cell>
          <cell r="G643">
            <v>45321</v>
          </cell>
          <cell r="H643" t="str">
            <v>01.0044</v>
          </cell>
          <cell r="I643" t="str">
            <v>דר טכנולוגיות בע"מ</v>
          </cell>
          <cell r="J643">
            <v>0.4476</v>
          </cell>
          <cell r="K643" t="str">
            <v>₪</v>
          </cell>
          <cell r="L643">
            <v>2000</v>
          </cell>
          <cell r="M643" t="str">
            <v>יח'</v>
          </cell>
          <cell r="N643">
            <v>895.2</v>
          </cell>
        </row>
        <row r="644">
          <cell r="B644" t="str">
            <v>MS21209CO815
INSERT, HELICAL</v>
          </cell>
          <cell r="C644">
            <v>36229</v>
          </cell>
          <cell r="D644">
            <v>1</v>
          </cell>
          <cell r="E644" t="str">
            <v>קשיח</v>
          </cell>
          <cell r="F644" t="str">
            <v>01.0044</v>
          </cell>
          <cell r="G644">
            <v>45315</v>
          </cell>
          <cell r="H644" t="str">
            <v>01.0044</v>
          </cell>
          <cell r="I644" t="str">
            <v>דר טכנולוגיות בע"מ</v>
          </cell>
          <cell r="J644">
            <v>0.45</v>
          </cell>
          <cell r="K644" t="str">
            <v>₪</v>
          </cell>
          <cell r="L644">
            <v>3000</v>
          </cell>
          <cell r="M644" t="str">
            <v>יח'</v>
          </cell>
          <cell r="N644">
            <v>1350</v>
          </cell>
        </row>
        <row r="645">
          <cell r="B645" t="str">
            <v>MS21209CO815
INSERT, HELICAL</v>
          </cell>
          <cell r="C645">
            <v>34314</v>
          </cell>
          <cell r="D645">
            <v>1</v>
          </cell>
          <cell r="E645" t="str">
            <v>קשיח</v>
          </cell>
          <cell r="F645" t="str">
            <v>01.0044</v>
          </cell>
          <cell r="G645">
            <v>45102</v>
          </cell>
          <cell r="H645" t="str">
            <v>01.0044</v>
          </cell>
          <cell r="I645" t="str">
            <v>דר טכנולוגיות בע"מ</v>
          </cell>
          <cell r="J645">
            <v>0.45</v>
          </cell>
          <cell r="K645" t="str">
            <v>₪</v>
          </cell>
          <cell r="L645">
            <v>3000</v>
          </cell>
          <cell r="M645" t="str">
            <v>יח'</v>
          </cell>
          <cell r="N645">
            <v>1350</v>
          </cell>
        </row>
        <row r="646">
          <cell r="B646" t="str">
            <v>MS21209CO815
INSERT, HELICAL</v>
          </cell>
          <cell r="C646">
            <v>33804</v>
          </cell>
          <cell r="D646">
            <v>1</v>
          </cell>
          <cell r="E646" t="str">
            <v>קשיח</v>
          </cell>
          <cell r="F646" t="str">
            <v>01.0044</v>
          </cell>
          <cell r="G646">
            <v>45043</v>
          </cell>
          <cell r="H646" t="str">
            <v>01.0044</v>
          </cell>
          <cell r="I646" t="str">
            <v>לוונשטיין טכנולוגיות בע"מ</v>
          </cell>
          <cell r="J646">
            <v>0.54579999999999995</v>
          </cell>
          <cell r="K646" t="str">
            <v>₪</v>
          </cell>
          <cell r="L646">
            <v>2000</v>
          </cell>
          <cell r="M646" t="str">
            <v>יח'</v>
          </cell>
          <cell r="N646">
            <v>1091.5999999999999</v>
          </cell>
        </row>
        <row r="647">
          <cell r="B647" t="str">
            <v>MS21209CO815
INSERT, HELICAL</v>
          </cell>
          <cell r="C647">
            <v>33533</v>
          </cell>
          <cell r="D647">
            <v>1</v>
          </cell>
          <cell r="E647" t="str">
            <v>קשיח</v>
          </cell>
          <cell r="F647" t="str">
            <v>01.0044</v>
          </cell>
          <cell r="G647">
            <v>44998</v>
          </cell>
          <cell r="H647" t="str">
            <v>01.0044</v>
          </cell>
          <cell r="I647" t="str">
            <v>לוונשטיין טכנולוגיות בע"מ</v>
          </cell>
          <cell r="J647">
            <v>0.54900000000000004</v>
          </cell>
          <cell r="K647" t="str">
            <v>₪</v>
          </cell>
          <cell r="L647">
            <v>2000</v>
          </cell>
          <cell r="M647" t="str">
            <v>יח'</v>
          </cell>
          <cell r="N647">
            <v>1098</v>
          </cell>
        </row>
        <row r="648">
          <cell r="B648" t="str">
            <v>MS21209CO815
INSERT, HELICAL</v>
          </cell>
          <cell r="C648">
            <v>33498</v>
          </cell>
          <cell r="D648">
            <v>3</v>
          </cell>
          <cell r="E648" t="str">
            <v>קשיח</v>
          </cell>
          <cell r="F648" t="str">
            <v>01.0044</v>
          </cell>
          <cell r="G648">
            <v>44986</v>
          </cell>
          <cell r="H648" t="str">
            <v>01.0044</v>
          </cell>
          <cell r="I648" t="str">
            <v>לוונשטיין טכנולוגיות בע"מ</v>
          </cell>
          <cell r="J648">
            <v>0.54910000000000003</v>
          </cell>
          <cell r="K648" t="str">
            <v>₪</v>
          </cell>
          <cell r="L648">
            <v>1000</v>
          </cell>
          <cell r="M648" t="str">
            <v>יח'</v>
          </cell>
          <cell r="N648">
            <v>549.1</v>
          </cell>
        </row>
        <row r="649">
          <cell r="B649" t="str">
            <v>MS21209CO815
INSERT, HELICAL</v>
          </cell>
          <cell r="C649">
            <v>33484</v>
          </cell>
          <cell r="D649">
            <v>1</v>
          </cell>
          <cell r="E649" t="str">
            <v>קשיח</v>
          </cell>
          <cell r="F649" t="str">
            <v>01.0044</v>
          </cell>
          <cell r="G649">
            <v>44983</v>
          </cell>
          <cell r="H649" t="str">
            <v>01.0044</v>
          </cell>
          <cell r="I649" t="str">
            <v>לוונשטיין טכנולוגיות בע"מ</v>
          </cell>
          <cell r="J649">
            <v>0.55000000000000004</v>
          </cell>
          <cell r="K649" t="str">
            <v>₪</v>
          </cell>
          <cell r="L649">
            <v>1000</v>
          </cell>
          <cell r="M649" t="str">
            <v>יח'</v>
          </cell>
          <cell r="N649">
            <v>550</v>
          </cell>
        </row>
        <row r="650">
          <cell r="B650" t="str">
            <v>MS21209CO815
INSERT, HELICAL</v>
          </cell>
          <cell r="C650">
            <v>27763</v>
          </cell>
          <cell r="D650">
            <v>2</v>
          </cell>
          <cell r="E650" t="str">
            <v>קשיח</v>
          </cell>
          <cell r="F650" t="str">
            <v>01.0044</v>
          </cell>
          <cell r="G650">
            <v>44179</v>
          </cell>
          <cell r="H650" t="str">
            <v>01.0044</v>
          </cell>
          <cell r="I650" t="str">
            <v>דר טכנולוגיות בע"מ</v>
          </cell>
          <cell r="J650">
            <v>0.45</v>
          </cell>
          <cell r="K650" t="str">
            <v>₪</v>
          </cell>
          <cell r="L650">
            <v>1000</v>
          </cell>
          <cell r="M650" t="str">
            <v>יח'</v>
          </cell>
          <cell r="N650">
            <v>450</v>
          </cell>
        </row>
        <row r="651">
          <cell r="B651" t="str">
            <v>MS21209CO815
INSERT, HELICAL</v>
          </cell>
          <cell r="C651">
            <v>23517</v>
          </cell>
          <cell r="D651">
            <v>1</v>
          </cell>
          <cell r="E651" t="str">
            <v>קשיח</v>
          </cell>
          <cell r="F651" t="str">
            <v>01.0044</v>
          </cell>
          <cell r="G651">
            <v>43576</v>
          </cell>
          <cell r="H651" t="str">
            <v>01.0044</v>
          </cell>
          <cell r="I651" t="str">
            <v>ברמיל בע"מ</v>
          </cell>
          <cell r="J651">
            <v>0.45</v>
          </cell>
          <cell r="K651" t="str">
            <v>₪</v>
          </cell>
          <cell r="L651">
            <v>1000</v>
          </cell>
          <cell r="M651" t="str">
            <v>יח'</v>
          </cell>
          <cell r="N651">
            <v>450</v>
          </cell>
        </row>
        <row r="652">
          <cell r="B652" t="str">
            <v>MS21209C815
INSERT, HELICAL, 1/2-13 X 1.5</v>
          </cell>
          <cell r="C652">
            <v>4117</v>
          </cell>
          <cell r="D652">
            <v>1</v>
          </cell>
          <cell r="E652" t="str">
            <v>קשיח</v>
          </cell>
          <cell r="F652" t="str">
            <v>01.0044</v>
          </cell>
          <cell r="G652">
            <v>41603</v>
          </cell>
          <cell r="H652" t="str">
            <v>01.0044</v>
          </cell>
          <cell r="I652" t="str">
            <v>לוונשטיין טכנולוגיות</v>
          </cell>
          <cell r="J652">
            <v>0</v>
          </cell>
          <cell r="K652" t="str">
            <v>₪</v>
          </cell>
          <cell r="M652" t="str">
            <v>יח'</v>
          </cell>
        </row>
        <row r="653">
          <cell r="B653" t="str">
            <v>Helicoil M2*1.5d - Free /MA3279-190</v>
          </cell>
          <cell r="C653">
            <v>26864</v>
          </cell>
          <cell r="D653">
            <v>1</v>
          </cell>
          <cell r="E653" t="str">
            <v>קשיח</v>
          </cell>
          <cell r="F653" t="str">
            <v>01.0045</v>
          </cell>
          <cell r="G653">
            <v>44054</v>
          </cell>
          <cell r="H653" t="str">
            <v>01.0045</v>
          </cell>
          <cell r="I653" t="str">
            <v>לוונשטיין טכנולוגיות</v>
          </cell>
          <cell r="J653">
            <v>0.55000000000000004</v>
          </cell>
          <cell r="K653" t="str">
            <v>₪</v>
          </cell>
          <cell r="L653">
            <v>500</v>
          </cell>
          <cell r="M653" t="str">
            <v>יח'</v>
          </cell>
          <cell r="N653">
            <v>275</v>
          </cell>
        </row>
        <row r="654">
          <cell r="B654" t="str">
            <v>Helicoil M2*1.5d - Free /MA3279-190</v>
          </cell>
          <cell r="C654">
            <v>26876</v>
          </cell>
          <cell r="D654">
            <v>1</v>
          </cell>
          <cell r="E654" t="str">
            <v>קשיח</v>
          </cell>
          <cell r="F654" t="str">
            <v>01.0045</v>
          </cell>
          <cell r="G654">
            <v>44054</v>
          </cell>
          <cell r="H654" t="str">
            <v>01.0045</v>
          </cell>
          <cell r="I654" t="str">
            <v>דר טכנולוגיות בע"מ</v>
          </cell>
          <cell r="J654">
            <v>0.5</v>
          </cell>
          <cell r="K654" t="str">
            <v>₪</v>
          </cell>
          <cell r="L654">
            <v>500</v>
          </cell>
          <cell r="M654" t="str">
            <v>יח'</v>
          </cell>
          <cell r="N654">
            <v>250</v>
          </cell>
        </row>
        <row r="655">
          <cell r="B655" t="str">
            <v>Helicoil M2*1.5d - Free</v>
          </cell>
          <cell r="C655">
            <v>24214</v>
          </cell>
          <cell r="D655">
            <v>1</v>
          </cell>
          <cell r="E655" t="str">
            <v>קשיח</v>
          </cell>
          <cell r="F655" t="str">
            <v>01.0045</v>
          </cell>
          <cell r="G655">
            <v>43655</v>
          </cell>
          <cell r="H655" t="str">
            <v>01.0045</v>
          </cell>
          <cell r="I655" t="str">
            <v>ברמיל בע"מ</v>
          </cell>
          <cell r="J655">
            <v>0.6</v>
          </cell>
          <cell r="K655" t="str">
            <v>₪</v>
          </cell>
          <cell r="L655">
            <v>500</v>
          </cell>
          <cell r="M655" t="str">
            <v>יח'</v>
          </cell>
          <cell r="N655">
            <v>300</v>
          </cell>
        </row>
        <row r="656">
          <cell r="B656" t="str">
            <v>Helicoil M2.5*1d - Free /MA3279-101 Bollhoff</v>
          </cell>
          <cell r="C656">
            <v>37971</v>
          </cell>
          <cell r="D656">
            <v>1</v>
          </cell>
          <cell r="E656" t="str">
            <v>קשיח</v>
          </cell>
          <cell r="F656" t="str">
            <v>01.0046</v>
          </cell>
          <cell r="G656">
            <v>45511</v>
          </cell>
          <cell r="H656" t="str">
            <v>01.0046</v>
          </cell>
          <cell r="I656" t="str">
            <v>לוונשטיין טכנולוגיות בע"מ</v>
          </cell>
          <cell r="J656">
            <v>1</v>
          </cell>
          <cell r="K656" t="str">
            <v>₪</v>
          </cell>
          <cell r="L656">
            <v>500</v>
          </cell>
          <cell r="M656" t="str">
            <v>יח'</v>
          </cell>
          <cell r="N656">
            <v>500</v>
          </cell>
        </row>
        <row r="657">
          <cell r="B657" t="str">
            <v>Helicoil M2.5*1d - Free /MA3279-101 Bollhoff</v>
          </cell>
          <cell r="C657">
            <v>32925</v>
          </cell>
          <cell r="D657">
            <v>1</v>
          </cell>
          <cell r="E657" t="str">
            <v>קשיח</v>
          </cell>
          <cell r="F657" t="str">
            <v>01.0046</v>
          </cell>
          <cell r="G657">
            <v>44899</v>
          </cell>
          <cell r="H657" t="str">
            <v>01.0046</v>
          </cell>
          <cell r="I657" t="str">
            <v>לוונשטיין טכנולוגיות בע"מ</v>
          </cell>
          <cell r="J657">
            <v>0.68730000000000002</v>
          </cell>
          <cell r="K657" t="str">
            <v>₪</v>
          </cell>
          <cell r="L657">
            <v>2000</v>
          </cell>
          <cell r="M657" t="str">
            <v>יח'</v>
          </cell>
          <cell r="N657">
            <v>1374.6000000000001</v>
          </cell>
        </row>
        <row r="658">
          <cell r="B658" t="str">
            <v>Helicoil M2.5*1d - Free /MA3279-101 Bollhoff</v>
          </cell>
          <cell r="C658">
            <v>32888</v>
          </cell>
          <cell r="D658">
            <v>1</v>
          </cell>
          <cell r="E658" t="str">
            <v>קשיח</v>
          </cell>
          <cell r="F658" t="str">
            <v>01.0046</v>
          </cell>
          <cell r="G658">
            <v>44894</v>
          </cell>
          <cell r="H658" t="str">
            <v>01.0046</v>
          </cell>
          <cell r="I658" t="str">
            <v>לוונשטיין טכנולוגיות בע"מ</v>
          </cell>
          <cell r="J658">
            <v>0.69989999999999997</v>
          </cell>
          <cell r="K658" t="str">
            <v>₪</v>
          </cell>
          <cell r="L658">
            <v>2000</v>
          </cell>
          <cell r="M658" t="str">
            <v>יח'</v>
          </cell>
          <cell r="N658">
            <v>1399.8</v>
          </cell>
        </row>
        <row r="659">
          <cell r="B659" t="str">
            <v>Helicoil M2.5*1d - Free /MA3279-101 Bollhoff</v>
          </cell>
          <cell r="C659">
            <v>32527</v>
          </cell>
          <cell r="D659">
            <v>2</v>
          </cell>
          <cell r="E659" t="str">
            <v>קשיח</v>
          </cell>
          <cell r="F659" t="str">
            <v>01.0046</v>
          </cell>
          <cell r="G659">
            <v>44845</v>
          </cell>
          <cell r="H659" t="str">
            <v>01.0046</v>
          </cell>
          <cell r="I659" t="str">
            <v>לוונשטיין טכנולוגיות בע"מ</v>
          </cell>
          <cell r="J659">
            <v>0.7</v>
          </cell>
          <cell r="K659" t="str">
            <v>₪</v>
          </cell>
          <cell r="L659">
            <v>500</v>
          </cell>
          <cell r="M659" t="str">
            <v>יח'</v>
          </cell>
          <cell r="N659">
            <v>350</v>
          </cell>
        </row>
        <row r="660">
          <cell r="B660" t="str">
            <v>Helicoil M2.5*1d - Free /MA3279-101 Bollhoff</v>
          </cell>
          <cell r="C660">
            <v>31254</v>
          </cell>
          <cell r="D660">
            <v>1</v>
          </cell>
          <cell r="E660" t="str">
            <v>קשיח</v>
          </cell>
          <cell r="F660" t="str">
            <v>01.0046</v>
          </cell>
          <cell r="G660">
            <v>44655</v>
          </cell>
          <cell r="H660" t="str">
            <v>01.0046</v>
          </cell>
          <cell r="I660" t="str">
            <v>לוונשטיין טכנולוגיות בע"מ</v>
          </cell>
          <cell r="J660">
            <v>0.52</v>
          </cell>
          <cell r="K660" t="str">
            <v>₪</v>
          </cell>
          <cell r="L660">
            <v>2000</v>
          </cell>
          <cell r="M660" t="str">
            <v>יח'</v>
          </cell>
          <cell r="N660">
            <v>1040</v>
          </cell>
        </row>
        <row r="661">
          <cell r="B661" t="str">
            <v>Helicoil M2.5*1d - Free /MA3279-101 Bollhoff</v>
          </cell>
          <cell r="C661">
            <v>30900</v>
          </cell>
          <cell r="D661">
            <v>2</v>
          </cell>
          <cell r="E661" t="str">
            <v>קשיח</v>
          </cell>
          <cell r="F661" t="str">
            <v>01.0046</v>
          </cell>
          <cell r="G661">
            <v>44608</v>
          </cell>
          <cell r="H661" t="str">
            <v>01.0046</v>
          </cell>
          <cell r="I661" t="str">
            <v>לוונשטיין טכנולוגיות בע"מ</v>
          </cell>
          <cell r="J661">
            <v>0.52</v>
          </cell>
          <cell r="K661" t="str">
            <v>₪</v>
          </cell>
          <cell r="L661">
            <v>1000</v>
          </cell>
          <cell r="M661" t="str">
            <v>יח'</v>
          </cell>
          <cell r="N661">
            <v>520</v>
          </cell>
        </row>
        <row r="662">
          <cell r="B662" t="str">
            <v>Helicoil M2.5*1d - Free /MA3279-101 Bollhoff</v>
          </cell>
          <cell r="C662">
            <v>30591</v>
          </cell>
          <cell r="D662">
            <v>1</v>
          </cell>
          <cell r="E662" t="str">
            <v>קשיח</v>
          </cell>
          <cell r="F662" t="str">
            <v>01.0046</v>
          </cell>
          <cell r="G662">
            <v>44563</v>
          </cell>
          <cell r="H662" t="str">
            <v>01.0046</v>
          </cell>
          <cell r="I662" t="str">
            <v>לוונשטיין טכנולוגיות בע"מ</v>
          </cell>
          <cell r="J662">
            <v>0.52</v>
          </cell>
          <cell r="K662" t="str">
            <v>₪</v>
          </cell>
          <cell r="L662">
            <v>2000</v>
          </cell>
          <cell r="M662" t="str">
            <v>יח'</v>
          </cell>
          <cell r="N662">
            <v>1040</v>
          </cell>
        </row>
        <row r="663">
          <cell r="B663" t="str">
            <v>Helicoil M2.5*1d - Free /MA3279-101 Bollhoff</v>
          </cell>
          <cell r="C663">
            <v>30422</v>
          </cell>
          <cell r="D663">
            <v>1</v>
          </cell>
          <cell r="E663" t="str">
            <v>קשיח</v>
          </cell>
          <cell r="F663" t="str">
            <v>01.0046</v>
          </cell>
          <cell r="G663">
            <v>44543</v>
          </cell>
          <cell r="H663" t="str">
            <v>01.0046</v>
          </cell>
          <cell r="I663" t="str">
            <v>לוונשטיין טכנולוגיות בע"מ</v>
          </cell>
          <cell r="J663">
            <v>0.52349999999999997</v>
          </cell>
          <cell r="K663" t="str">
            <v>₪</v>
          </cell>
          <cell r="L663">
            <v>3000</v>
          </cell>
          <cell r="M663" t="str">
            <v>יח'</v>
          </cell>
          <cell r="N663">
            <v>1570.5</v>
          </cell>
        </row>
        <row r="664">
          <cell r="B664" t="str">
            <v>Helicoil M2.5*1d - Free /MA3279-101 Bollhoff</v>
          </cell>
          <cell r="C664">
            <v>30289</v>
          </cell>
          <cell r="D664">
            <v>1</v>
          </cell>
          <cell r="E664" t="str">
            <v>קשיח</v>
          </cell>
          <cell r="F664" t="str">
            <v>01.0046</v>
          </cell>
          <cell r="G664">
            <v>44524</v>
          </cell>
          <cell r="H664" t="str">
            <v>01.0046</v>
          </cell>
          <cell r="I664" t="str">
            <v>לוונשטיין טכנולוגיות בע"מ</v>
          </cell>
          <cell r="J664">
            <v>0.52339999999999998</v>
          </cell>
          <cell r="K664" t="str">
            <v>₪</v>
          </cell>
          <cell r="L664">
            <v>1000</v>
          </cell>
          <cell r="M664" t="str">
            <v>יח'</v>
          </cell>
          <cell r="N664">
            <v>523.4</v>
          </cell>
        </row>
        <row r="665">
          <cell r="B665" t="str">
            <v>Helicoil M2.5*1d - Free /MA3279-101 Bollhoff</v>
          </cell>
          <cell r="C665">
            <v>29008</v>
          </cell>
          <cell r="D665">
            <v>1</v>
          </cell>
          <cell r="E665" t="str">
            <v>קשיח</v>
          </cell>
          <cell r="F665" t="str">
            <v>01.0046</v>
          </cell>
          <cell r="G665">
            <v>44353</v>
          </cell>
          <cell r="H665" t="str">
            <v>01.0046</v>
          </cell>
          <cell r="I665" t="str">
            <v>לוונשטיין טכנולוגיות</v>
          </cell>
          <cell r="J665">
            <v>0.52</v>
          </cell>
          <cell r="K665" t="str">
            <v>₪</v>
          </cell>
          <cell r="L665">
            <v>1000</v>
          </cell>
          <cell r="M665" t="str">
            <v>יח'</v>
          </cell>
          <cell r="N665">
            <v>520</v>
          </cell>
        </row>
        <row r="666">
          <cell r="B666" t="str">
            <v>Helicoil M2.5*1d - Free /MA3279-101</v>
          </cell>
          <cell r="C666">
            <v>24589</v>
          </cell>
          <cell r="D666">
            <v>1</v>
          </cell>
          <cell r="E666" t="str">
            <v>קשיח</v>
          </cell>
          <cell r="F666" t="str">
            <v>01.0046</v>
          </cell>
          <cell r="G666">
            <v>43705</v>
          </cell>
          <cell r="H666" t="str">
            <v>01.0046</v>
          </cell>
          <cell r="I666" t="str">
            <v>לוונשטיין טכנולוגיות</v>
          </cell>
          <cell r="J666">
            <v>0.55000000000000004</v>
          </cell>
          <cell r="K666" t="str">
            <v>₪</v>
          </cell>
          <cell r="L666">
            <v>2000</v>
          </cell>
          <cell r="M666" t="str">
            <v>יח'</v>
          </cell>
          <cell r="N666">
            <v>1100</v>
          </cell>
        </row>
        <row r="667">
          <cell r="B667" t="str">
            <v>Helicoil M2.5*1d - Free /MA3279-101</v>
          </cell>
          <cell r="C667">
            <v>24267</v>
          </cell>
          <cell r="D667">
            <v>1</v>
          </cell>
          <cell r="E667" t="str">
            <v>קשיח</v>
          </cell>
          <cell r="F667" t="str">
            <v>01.0046</v>
          </cell>
          <cell r="G667">
            <v>43661</v>
          </cell>
          <cell r="H667" t="str">
            <v>01.0046</v>
          </cell>
          <cell r="I667" t="str">
            <v>לוונשטיין טכנולוגיות</v>
          </cell>
          <cell r="J667">
            <v>0.5302</v>
          </cell>
          <cell r="K667" t="str">
            <v>₪</v>
          </cell>
          <cell r="L667">
            <v>1000</v>
          </cell>
          <cell r="M667" t="str">
            <v>יח'</v>
          </cell>
          <cell r="N667">
            <v>530.20000000000005</v>
          </cell>
        </row>
        <row r="668">
          <cell r="B668" t="str">
            <v>Helicoil M2.5*1d - Free /MA3279-101</v>
          </cell>
          <cell r="C668">
            <v>24207</v>
          </cell>
          <cell r="D668">
            <v>1</v>
          </cell>
          <cell r="E668" t="str">
            <v>קשיח</v>
          </cell>
          <cell r="F668" t="str">
            <v>01.0046</v>
          </cell>
          <cell r="G668">
            <v>43655</v>
          </cell>
          <cell r="H668" t="str">
            <v>01.0046</v>
          </cell>
          <cell r="I668" t="str">
            <v>דר טכנולוגיות בע"מ</v>
          </cell>
          <cell r="J668">
            <v>0.48</v>
          </cell>
          <cell r="K668" t="str">
            <v>₪</v>
          </cell>
          <cell r="L668">
            <v>1000</v>
          </cell>
          <cell r="M668" t="str">
            <v>יח'</v>
          </cell>
          <cell r="N668">
            <v>480</v>
          </cell>
        </row>
        <row r="669">
          <cell r="B669" t="str">
            <v>Helicoil M2.5*1d - Free /MA3279-101</v>
          </cell>
          <cell r="C669">
            <v>23543</v>
          </cell>
          <cell r="D669">
            <v>1</v>
          </cell>
          <cell r="E669" t="str">
            <v>קשיח</v>
          </cell>
          <cell r="F669" t="str">
            <v>01.0046</v>
          </cell>
          <cell r="G669">
            <v>43577</v>
          </cell>
          <cell r="H669" t="str">
            <v>01.0046</v>
          </cell>
          <cell r="I669" t="str">
            <v>דר טכנולוגיות בע"מ</v>
          </cell>
          <cell r="J669">
            <v>0.48039999999999999</v>
          </cell>
          <cell r="K669" t="str">
            <v>₪</v>
          </cell>
          <cell r="L669">
            <v>1000</v>
          </cell>
          <cell r="M669" t="str">
            <v>יח'</v>
          </cell>
          <cell r="N669">
            <v>480.4</v>
          </cell>
        </row>
        <row r="670">
          <cell r="B670" t="str">
            <v xml:space="preserve"> Helicoil M3*1d - Lock</v>
          </cell>
          <cell r="C670">
            <v>28899</v>
          </cell>
          <cell r="D670">
            <v>1</v>
          </cell>
          <cell r="E670" t="str">
            <v>קשיח</v>
          </cell>
          <cell r="F670" t="str">
            <v>01.0052</v>
          </cell>
          <cell r="G670">
            <v>44340</v>
          </cell>
          <cell r="H670" t="str">
            <v>01.0052</v>
          </cell>
          <cell r="I670" t="str">
            <v>גין מהנדסים בע"מ</v>
          </cell>
          <cell r="J670">
            <v>0.5</v>
          </cell>
          <cell r="K670" t="str">
            <v>₪</v>
          </cell>
          <cell r="L670">
            <v>500</v>
          </cell>
          <cell r="M670" t="str">
            <v>יח'</v>
          </cell>
          <cell r="N670">
            <v>250</v>
          </cell>
        </row>
        <row r="671">
          <cell r="B671" t="str">
            <v xml:space="preserve"> Helicoil M3*1d - Lock</v>
          </cell>
          <cell r="C671">
            <v>28121</v>
          </cell>
          <cell r="D671">
            <v>1</v>
          </cell>
          <cell r="E671" t="str">
            <v>קשיח</v>
          </cell>
          <cell r="F671" t="str">
            <v>01.0052</v>
          </cell>
          <cell r="G671">
            <v>44235</v>
          </cell>
          <cell r="H671" t="str">
            <v>01.0052</v>
          </cell>
          <cell r="I671" t="str">
            <v>דר טכנולוגיות בע"מ</v>
          </cell>
          <cell r="J671">
            <v>0.48</v>
          </cell>
          <cell r="K671" t="str">
            <v>₪</v>
          </cell>
          <cell r="L671">
            <v>1000</v>
          </cell>
          <cell r="M671" t="str">
            <v>יח'</v>
          </cell>
          <cell r="N671">
            <v>480</v>
          </cell>
        </row>
        <row r="672">
          <cell r="B672" t="str">
            <v xml:space="preserve"> Helicoil M3*1d - Lock</v>
          </cell>
          <cell r="C672">
            <v>7780</v>
          </cell>
          <cell r="D672">
            <v>1</v>
          </cell>
          <cell r="E672" t="str">
            <v>קשיח</v>
          </cell>
          <cell r="F672" t="str">
            <v>01.0052</v>
          </cell>
          <cell r="G672">
            <v>42052</v>
          </cell>
          <cell r="H672" t="str">
            <v>01.0052</v>
          </cell>
          <cell r="I672" t="str">
            <v>אלמוג</v>
          </cell>
          <cell r="J672">
            <v>0</v>
          </cell>
          <cell r="K672" t="str">
            <v>₪</v>
          </cell>
          <cell r="M672" t="str">
            <v>יח'</v>
          </cell>
        </row>
        <row r="673">
          <cell r="B673" t="str">
            <v xml:space="preserve"> Helicoil M3*1.5d - Lock 3329-152</v>
          </cell>
          <cell r="C673">
            <v>42508</v>
          </cell>
          <cell r="D673">
            <v>1</v>
          </cell>
          <cell r="E673" t="str">
            <v>קשיח</v>
          </cell>
          <cell r="F673" t="str">
            <v>01.0053</v>
          </cell>
          <cell r="G673">
            <v>45959</v>
          </cell>
          <cell r="H673" t="str">
            <v>01.0053</v>
          </cell>
          <cell r="I673" t="str">
            <v>דר טכנולוגיות בע"מ</v>
          </cell>
          <cell r="J673">
            <v>0.44</v>
          </cell>
          <cell r="K673" t="str">
            <v>₪</v>
          </cell>
          <cell r="L673">
            <v>4000</v>
          </cell>
          <cell r="M673" t="str">
            <v>יח'</v>
          </cell>
          <cell r="N673">
            <v>1760</v>
          </cell>
        </row>
        <row r="674">
          <cell r="B674" t="str">
            <v xml:space="preserve"> Helicoil M3*1.5d - Lock 3329-152</v>
          </cell>
          <cell r="C674">
            <v>42458</v>
          </cell>
          <cell r="D674">
            <v>1</v>
          </cell>
          <cell r="E674" t="str">
            <v>קשיח</v>
          </cell>
          <cell r="F674" t="str">
            <v>01.0053</v>
          </cell>
          <cell r="G674">
            <v>45957</v>
          </cell>
          <cell r="H674" t="str">
            <v>01.0053</v>
          </cell>
          <cell r="I674" t="str">
            <v>לוונשטיין טכנולוגיות בע"מ</v>
          </cell>
          <cell r="J674">
            <v>0.57999999999999996</v>
          </cell>
          <cell r="K674" t="str">
            <v>₪</v>
          </cell>
          <cell r="L674">
            <v>4000</v>
          </cell>
          <cell r="M674" t="str">
            <v>יח'</v>
          </cell>
          <cell r="N674">
            <v>2320</v>
          </cell>
        </row>
        <row r="675">
          <cell r="B675" t="str">
            <v xml:space="preserve"> Helicoil M3*1.5d - Lock 3329-152</v>
          </cell>
          <cell r="C675">
            <v>42027</v>
          </cell>
          <cell r="D675">
            <v>1</v>
          </cell>
          <cell r="E675" t="str">
            <v>קשיח</v>
          </cell>
          <cell r="F675" t="str">
            <v>01.0053</v>
          </cell>
          <cell r="G675">
            <v>45903</v>
          </cell>
          <cell r="H675" t="str">
            <v>01.0053</v>
          </cell>
          <cell r="I675" t="str">
            <v>לוונשטיין טכנולוגיות בע"מ</v>
          </cell>
          <cell r="J675">
            <v>0.57999999999999996</v>
          </cell>
          <cell r="K675" t="str">
            <v>₪</v>
          </cell>
          <cell r="L675">
            <v>7000</v>
          </cell>
          <cell r="M675" t="str">
            <v>יח'</v>
          </cell>
          <cell r="N675">
            <v>4059.9999999999995</v>
          </cell>
        </row>
        <row r="676">
          <cell r="B676" t="str">
            <v xml:space="preserve"> Helicoil M3*1.5d - Lock</v>
          </cell>
          <cell r="C676">
            <v>41980</v>
          </cell>
          <cell r="D676">
            <v>3</v>
          </cell>
          <cell r="E676" t="str">
            <v>קשיח</v>
          </cell>
          <cell r="F676" t="str">
            <v>01.0053</v>
          </cell>
          <cell r="G676">
            <v>45900</v>
          </cell>
          <cell r="H676" t="str">
            <v>01.0053</v>
          </cell>
          <cell r="I676" t="str">
            <v>דר טכנולוגיות בע"מ</v>
          </cell>
          <cell r="J676">
            <v>0.44</v>
          </cell>
          <cell r="K676" t="str">
            <v>₪</v>
          </cell>
          <cell r="L676">
            <v>5000</v>
          </cell>
          <cell r="M676" t="str">
            <v>יח'</v>
          </cell>
          <cell r="N676">
            <v>2200</v>
          </cell>
        </row>
        <row r="677">
          <cell r="B677" t="str">
            <v xml:space="preserve"> Helicoil M3*1.5d - Lock</v>
          </cell>
          <cell r="C677">
            <v>41554</v>
          </cell>
          <cell r="D677">
            <v>2</v>
          </cell>
          <cell r="E677" t="str">
            <v>קשיח</v>
          </cell>
          <cell r="F677" t="str">
            <v>01.0053</v>
          </cell>
          <cell r="G677">
            <v>45860</v>
          </cell>
          <cell r="H677" t="str">
            <v>01.0053</v>
          </cell>
          <cell r="I677" t="str">
            <v>דר טכנולוגיות בע"מ</v>
          </cell>
          <cell r="J677">
            <v>0.4</v>
          </cell>
          <cell r="K677" t="str">
            <v>₪</v>
          </cell>
          <cell r="L677">
            <v>3000</v>
          </cell>
          <cell r="M677" t="str">
            <v>יח'</v>
          </cell>
          <cell r="N677">
            <v>1200</v>
          </cell>
        </row>
        <row r="678">
          <cell r="B678" t="str">
            <v xml:space="preserve"> Helicoil M3*1.5d - Lock 3329-152</v>
          </cell>
          <cell r="C678">
            <v>41091</v>
          </cell>
          <cell r="D678">
            <v>1</v>
          </cell>
          <cell r="E678" t="str">
            <v>קשיח</v>
          </cell>
          <cell r="F678" t="str">
            <v>01.0053</v>
          </cell>
          <cell r="G678">
            <v>45812</v>
          </cell>
          <cell r="H678" t="str">
            <v>01.0053</v>
          </cell>
          <cell r="I678" t="str">
            <v>גין מהנדסים בע"מ</v>
          </cell>
          <cell r="J678">
            <v>0.9</v>
          </cell>
          <cell r="K678" t="str">
            <v>₪</v>
          </cell>
          <cell r="L678">
            <v>4000</v>
          </cell>
          <cell r="M678" t="str">
            <v>יח'</v>
          </cell>
          <cell r="N678">
            <v>3600</v>
          </cell>
        </row>
        <row r="679">
          <cell r="B679" t="str">
            <v xml:space="preserve"> Helicoil M3*1.5d - Lock 3329-152</v>
          </cell>
          <cell r="C679">
            <v>39751</v>
          </cell>
          <cell r="D679">
            <v>1</v>
          </cell>
          <cell r="E679" t="str">
            <v>קשיח</v>
          </cell>
          <cell r="F679" t="str">
            <v>01.0053</v>
          </cell>
          <cell r="G679">
            <v>45697</v>
          </cell>
          <cell r="H679" t="str">
            <v>01.0053</v>
          </cell>
          <cell r="I679" t="str">
            <v>לוונשטיין טכנולוגיות בע"מ</v>
          </cell>
          <cell r="J679">
            <v>0.9</v>
          </cell>
          <cell r="K679" t="str">
            <v>₪</v>
          </cell>
          <cell r="L679">
            <v>100</v>
          </cell>
          <cell r="M679" t="str">
            <v>יח'</v>
          </cell>
          <cell r="N679">
            <v>90</v>
          </cell>
        </row>
        <row r="680">
          <cell r="B680" t="str">
            <v xml:space="preserve"> Helicoil M3*1.5d - Lock</v>
          </cell>
          <cell r="C680">
            <v>35655</v>
          </cell>
          <cell r="D680">
            <v>2</v>
          </cell>
          <cell r="E680" t="str">
            <v>קשיח</v>
          </cell>
          <cell r="F680" t="str">
            <v>01.0053</v>
          </cell>
          <cell r="G680">
            <v>45258</v>
          </cell>
          <cell r="H680" t="str">
            <v>01.0053</v>
          </cell>
          <cell r="I680" t="str">
            <v>לוונשטיין טכנולוגיות בע"מ</v>
          </cell>
          <cell r="J680">
            <v>1.1000000000000001</v>
          </cell>
          <cell r="K680" t="str">
            <v>₪</v>
          </cell>
          <cell r="L680">
            <v>1000</v>
          </cell>
          <cell r="M680" t="str">
            <v>יח'</v>
          </cell>
          <cell r="N680">
            <v>1100</v>
          </cell>
        </row>
        <row r="681">
          <cell r="B681" t="str">
            <v xml:space="preserve"> Helicoil M3*1.5d - Lock</v>
          </cell>
          <cell r="C681">
            <v>3461</v>
          </cell>
          <cell r="D681">
            <v>2</v>
          </cell>
          <cell r="E681" t="str">
            <v>קשיח</v>
          </cell>
          <cell r="F681" t="str">
            <v>01.0053</v>
          </cell>
          <cell r="G681">
            <v>41518</v>
          </cell>
          <cell r="H681" t="str">
            <v>01.0053</v>
          </cell>
          <cell r="I681" t="str">
            <v>לוונשטיין טכנולוגיות</v>
          </cell>
          <cell r="J681">
            <v>0.7</v>
          </cell>
          <cell r="K681" t="str">
            <v>₪</v>
          </cell>
          <cell r="L681">
            <v>300</v>
          </cell>
          <cell r="M681" t="str">
            <v>יח'</v>
          </cell>
          <cell r="N681">
            <v>210</v>
          </cell>
        </row>
        <row r="682">
          <cell r="B682" t="str">
            <v>MS51830-101, INSERT, KEY-LOCKED, 2-56</v>
          </cell>
          <cell r="C682">
            <v>36384</v>
          </cell>
          <cell r="D682">
            <v>1</v>
          </cell>
          <cell r="E682" t="str">
            <v>קשיח</v>
          </cell>
          <cell r="F682" t="str">
            <v>01.0054</v>
          </cell>
          <cell r="G682">
            <v>45334</v>
          </cell>
          <cell r="H682" t="str">
            <v>01.0054</v>
          </cell>
          <cell r="I682" t="str">
            <v>גין מהנדסים בע"מ</v>
          </cell>
          <cell r="J682">
            <v>7.7</v>
          </cell>
          <cell r="K682" t="str">
            <v>₪</v>
          </cell>
          <cell r="L682">
            <v>200</v>
          </cell>
          <cell r="M682" t="str">
            <v>יח'</v>
          </cell>
          <cell r="N682">
            <v>1540</v>
          </cell>
        </row>
        <row r="683">
          <cell r="B683" t="str">
            <v>MS51830-101, INSERT, KEY-LOCKED, 2-56</v>
          </cell>
          <cell r="C683">
            <v>32121</v>
          </cell>
          <cell r="D683">
            <v>1</v>
          </cell>
          <cell r="E683" t="str">
            <v>קשיח</v>
          </cell>
          <cell r="F683" t="str">
            <v>01.0054</v>
          </cell>
          <cell r="G683">
            <v>44780</v>
          </cell>
          <cell r="H683" t="str">
            <v>01.0054</v>
          </cell>
          <cell r="I683" t="str">
            <v>גין מהנדסים בע"מ</v>
          </cell>
          <cell r="J683">
            <v>6</v>
          </cell>
          <cell r="K683" t="str">
            <v>₪</v>
          </cell>
          <cell r="L683">
            <v>200</v>
          </cell>
          <cell r="M683" t="str">
            <v>יח'</v>
          </cell>
          <cell r="N683">
            <v>1200</v>
          </cell>
        </row>
        <row r="684">
          <cell r="B684" t="str">
            <v xml:space="preserve"> Helicoil M4*1d - DIN 8140, free - Strip</v>
          </cell>
          <cell r="C684">
            <v>44455</v>
          </cell>
          <cell r="D684">
            <v>2</v>
          </cell>
          <cell r="E684" t="str">
            <v>קשיח</v>
          </cell>
          <cell r="F684" t="str">
            <v>01.0055</v>
          </cell>
          <cell r="G684">
            <v>46037</v>
          </cell>
          <cell r="H684" t="str">
            <v>01.0055</v>
          </cell>
          <cell r="I684" t="str">
            <v>דר טכנולוגיות בע"מ</v>
          </cell>
          <cell r="J684">
            <v>0.5</v>
          </cell>
          <cell r="K684" t="str">
            <v>₪</v>
          </cell>
          <cell r="L684">
            <v>3000</v>
          </cell>
          <cell r="M684" t="str">
            <v>יח'</v>
          </cell>
          <cell r="N684">
            <v>1500</v>
          </cell>
        </row>
        <row r="685">
          <cell r="B685" t="str">
            <v xml:space="preserve"> Helicoil M4*1d - DIN 8140, free - Strip</v>
          </cell>
          <cell r="C685">
            <v>43098</v>
          </cell>
          <cell r="D685">
            <v>2</v>
          </cell>
          <cell r="E685" t="str">
            <v>קשיח</v>
          </cell>
          <cell r="F685" t="str">
            <v>01.0055</v>
          </cell>
          <cell r="G685">
            <v>46008</v>
          </cell>
          <cell r="H685" t="str">
            <v>01.0055</v>
          </cell>
          <cell r="I685" t="str">
            <v>לוונשטיין טכנולוגיות בע"מ</v>
          </cell>
          <cell r="J685">
            <v>0.5</v>
          </cell>
          <cell r="K685" t="str">
            <v>₪</v>
          </cell>
          <cell r="L685">
            <v>1000</v>
          </cell>
          <cell r="M685" t="str">
            <v>יח'</v>
          </cell>
          <cell r="N685">
            <v>500</v>
          </cell>
        </row>
        <row r="686">
          <cell r="B686" t="str">
            <v xml:space="preserve"> Helicoil M4*1d - DIN 8140, free - Strip</v>
          </cell>
          <cell r="C686">
            <v>42074</v>
          </cell>
          <cell r="D686">
            <v>2</v>
          </cell>
          <cell r="E686" t="str">
            <v>קשיח</v>
          </cell>
          <cell r="F686" t="str">
            <v>01.0055</v>
          </cell>
          <cell r="G686">
            <v>45908</v>
          </cell>
          <cell r="H686" t="str">
            <v>01.0055</v>
          </cell>
          <cell r="I686" t="str">
            <v>לוונשטיין טכנולוגיות בע"מ</v>
          </cell>
          <cell r="J686">
            <v>0.5</v>
          </cell>
          <cell r="K686" t="str">
            <v>₪</v>
          </cell>
          <cell r="L686">
            <v>1000</v>
          </cell>
          <cell r="M686" t="str">
            <v>יח'</v>
          </cell>
          <cell r="N686">
            <v>500</v>
          </cell>
        </row>
        <row r="687">
          <cell r="B687" t="str">
            <v xml:space="preserve"> Helicoil M4*1d - DIN 8140, free - Strip</v>
          </cell>
          <cell r="C687">
            <v>41784</v>
          </cell>
          <cell r="D687">
            <v>1</v>
          </cell>
          <cell r="E687" t="str">
            <v>קשיח</v>
          </cell>
          <cell r="F687" t="str">
            <v>01.0055</v>
          </cell>
          <cell r="G687">
            <v>45881</v>
          </cell>
          <cell r="H687" t="str">
            <v>01.0055</v>
          </cell>
          <cell r="I687" t="str">
            <v>דר טכנולוגיות בע"מ</v>
          </cell>
          <cell r="J687">
            <v>0.5</v>
          </cell>
          <cell r="K687" t="str">
            <v>₪</v>
          </cell>
          <cell r="L687">
            <v>1000</v>
          </cell>
          <cell r="M687" t="str">
            <v>יח'</v>
          </cell>
          <cell r="N687">
            <v>500</v>
          </cell>
        </row>
        <row r="688">
          <cell r="B688" t="str">
            <v xml:space="preserve"> Helicoil M4*1d - DIN 8140, free - Strip</v>
          </cell>
          <cell r="C688">
            <v>41461</v>
          </cell>
          <cell r="D688">
            <v>1</v>
          </cell>
          <cell r="E688" t="str">
            <v>קשיח</v>
          </cell>
          <cell r="F688" t="str">
            <v>01.0055</v>
          </cell>
          <cell r="G688">
            <v>45853</v>
          </cell>
          <cell r="H688" t="str">
            <v>01.0055</v>
          </cell>
          <cell r="I688" t="str">
            <v>דר טכנולוגיות בע"מ</v>
          </cell>
          <cell r="J688">
            <v>0.5</v>
          </cell>
          <cell r="K688" t="str">
            <v>₪</v>
          </cell>
          <cell r="L688">
            <v>1000</v>
          </cell>
          <cell r="M688" t="str">
            <v>יח'</v>
          </cell>
          <cell r="N688">
            <v>500</v>
          </cell>
        </row>
        <row r="689">
          <cell r="B689" t="str">
            <v xml:space="preserve"> Helicoil M4*1d - DIN 8140, free - Strip</v>
          </cell>
          <cell r="C689">
            <v>40762</v>
          </cell>
          <cell r="D689">
            <v>1</v>
          </cell>
          <cell r="E689" t="str">
            <v>קשיח</v>
          </cell>
          <cell r="F689" t="str">
            <v>01.0055</v>
          </cell>
          <cell r="G689">
            <v>45783</v>
          </cell>
          <cell r="H689" t="str">
            <v>01.0055</v>
          </cell>
          <cell r="I689" t="str">
            <v>לוונשטיין טכנולוגיות בע"מ</v>
          </cell>
          <cell r="J689">
            <v>0.5</v>
          </cell>
          <cell r="K689" t="str">
            <v>₪</v>
          </cell>
          <cell r="L689">
            <v>1000</v>
          </cell>
          <cell r="M689" t="str">
            <v>יח'</v>
          </cell>
          <cell r="N689">
            <v>500</v>
          </cell>
        </row>
        <row r="690">
          <cell r="B690" t="str">
            <v xml:space="preserve"> Helicoil M4*1d - DIN 8140, free - Strip</v>
          </cell>
          <cell r="C690">
            <v>38896</v>
          </cell>
          <cell r="D690">
            <v>1</v>
          </cell>
          <cell r="E690" t="str">
            <v>קשיח</v>
          </cell>
          <cell r="F690" t="str">
            <v>01.0055</v>
          </cell>
          <cell r="G690">
            <v>45617</v>
          </cell>
          <cell r="H690" t="str">
            <v>01.0055</v>
          </cell>
          <cell r="I690" t="str">
            <v>לוונשטיין טכנולוגיות בע"מ</v>
          </cell>
          <cell r="J690">
            <v>0.5</v>
          </cell>
          <cell r="K690" t="str">
            <v>₪</v>
          </cell>
          <cell r="L690">
            <v>1000</v>
          </cell>
          <cell r="M690" t="str">
            <v>יח'</v>
          </cell>
          <cell r="N690">
            <v>500</v>
          </cell>
        </row>
        <row r="691">
          <cell r="B691" t="str">
            <v xml:space="preserve"> Helicoil M4*1d - DIN 8140, free - Strip</v>
          </cell>
          <cell r="C691">
            <v>35845</v>
          </cell>
          <cell r="D691">
            <v>2</v>
          </cell>
          <cell r="E691" t="str">
            <v>קשיח</v>
          </cell>
          <cell r="F691" t="str">
            <v>01.0055</v>
          </cell>
          <cell r="G691">
            <v>45278</v>
          </cell>
          <cell r="H691" t="str">
            <v>01.0055</v>
          </cell>
          <cell r="I691" t="str">
            <v>לוונשטיין טכנולוגיות בע"מ</v>
          </cell>
          <cell r="J691">
            <v>0.5</v>
          </cell>
          <cell r="K691" t="str">
            <v>₪</v>
          </cell>
          <cell r="L691">
            <v>1000</v>
          </cell>
          <cell r="M691" t="str">
            <v>יח'</v>
          </cell>
          <cell r="N691">
            <v>500</v>
          </cell>
        </row>
        <row r="692">
          <cell r="B692" t="str">
            <v xml:space="preserve"> Helicoil M4*1d - DIN 8140, free - Strip</v>
          </cell>
          <cell r="C692">
            <v>35627</v>
          </cell>
          <cell r="D692">
            <v>3</v>
          </cell>
          <cell r="E692" t="str">
            <v>קשיח</v>
          </cell>
          <cell r="F692" t="str">
            <v>01.0055</v>
          </cell>
          <cell r="G692">
            <v>45253</v>
          </cell>
          <cell r="H692" t="str">
            <v>01.0055</v>
          </cell>
          <cell r="I692" t="str">
            <v>לוונשטיין טכנולוגיות בע"מ</v>
          </cell>
          <cell r="J692">
            <v>0.5</v>
          </cell>
          <cell r="K692" t="str">
            <v>₪</v>
          </cell>
          <cell r="L692">
            <v>5000</v>
          </cell>
          <cell r="M692" t="str">
            <v>יח'</v>
          </cell>
          <cell r="N692">
            <v>2500</v>
          </cell>
        </row>
        <row r="693">
          <cell r="B693" t="str">
            <v xml:space="preserve"> Helicoil M4*1d - DIN 8140, free - Strip</v>
          </cell>
          <cell r="C693">
            <v>34962</v>
          </cell>
          <cell r="D693">
            <v>3</v>
          </cell>
          <cell r="E693" t="str">
            <v>קשיח</v>
          </cell>
          <cell r="F693" t="str">
            <v>01.0055</v>
          </cell>
          <cell r="G693">
            <v>45168</v>
          </cell>
          <cell r="H693" t="str">
            <v>01.0055</v>
          </cell>
          <cell r="I693" t="str">
            <v>לוונשטיין טכנולוגיות בע"מ</v>
          </cell>
          <cell r="J693">
            <v>0.5</v>
          </cell>
          <cell r="K693" t="str">
            <v>₪</v>
          </cell>
          <cell r="L693">
            <v>2000</v>
          </cell>
          <cell r="M693" t="str">
            <v>יח'</v>
          </cell>
          <cell r="N693">
            <v>1000</v>
          </cell>
        </row>
        <row r="694">
          <cell r="B694" t="str">
            <v xml:space="preserve"> Helicoil M4*1d - DIN 8140, free - Strip</v>
          </cell>
          <cell r="C694">
            <v>34478</v>
          </cell>
          <cell r="D694">
            <v>2</v>
          </cell>
          <cell r="E694" t="str">
            <v>קשיח</v>
          </cell>
          <cell r="F694" t="str">
            <v>01.0055</v>
          </cell>
          <cell r="G694">
            <v>45119</v>
          </cell>
          <cell r="H694" t="str">
            <v>01.0055</v>
          </cell>
          <cell r="I694" t="str">
            <v>לוונשטיין טכנולוגיות בע"מ</v>
          </cell>
          <cell r="J694">
            <v>0.5</v>
          </cell>
          <cell r="K694" t="str">
            <v>₪</v>
          </cell>
          <cell r="L694">
            <v>1000</v>
          </cell>
          <cell r="M694" t="str">
            <v>יח'</v>
          </cell>
          <cell r="N694">
            <v>500</v>
          </cell>
        </row>
        <row r="695">
          <cell r="B695" t="str">
            <v xml:space="preserve"> Helicoil M4*1d - DIN 8140, free - Strip</v>
          </cell>
          <cell r="C695">
            <v>34304</v>
          </cell>
          <cell r="D695">
            <v>1</v>
          </cell>
          <cell r="E695" t="str">
            <v>קשיח</v>
          </cell>
          <cell r="F695" t="str">
            <v>01.0055</v>
          </cell>
          <cell r="G695">
            <v>45102</v>
          </cell>
          <cell r="H695" t="str">
            <v>01.0055</v>
          </cell>
          <cell r="I695" t="str">
            <v>לוונשטיין טכנולוגיות בע"מ</v>
          </cell>
          <cell r="J695">
            <v>0.5</v>
          </cell>
          <cell r="K695" t="str">
            <v>₪</v>
          </cell>
          <cell r="L695">
            <v>2000</v>
          </cell>
          <cell r="M695" t="str">
            <v>יח'</v>
          </cell>
          <cell r="N695">
            <v>1000</v>
          </cell>
        </row>
        <row r="696">
          <cell r="B696" t="str">
            <v xml:space="preserve"> Helicoil M4*1d - DIN 8140, free - Strip</v>
          </cell>
          <cell r="C696">
            <v>33260</v>
          </cell>
          <cell r="D696">
            <v>2</v>
          </cell>
          <cell r="E696" t="str">
            <v>קשיח</v>
          </cell>
          <cell r="F696" t="str">
            <v>01.0055</v>
          </cell>
          <cell r="G696">
            <v>44950</v>
          </cell>
          <cell r="H696" t="str">
            <v>01.0055</v>
          </cell>
          <cell r="I696" t="str">
            <v>לוונשטיין טכנולוגיות בע"מ</v>
          </cell>
          <cell r="J696">
            <v>0.49</v>
          </cell>
          <cell r="K696" t="str">
            <v>₪</v>
          </cell>
          <cell r="L696">
            <v>1000</v>
          </cell>
          <cell r="M696" t="str">
            <v>יח'</v>
          </cell>
          <cell r="N696">
            <v>490</v>
          </cell>
        </row>
        <row r="697">
          <cell r="B697" t="str">
            <v xml:space="preserve"> Helicoil M4*1d - DIN 8140, free - Strip</v>
          </cell>
          <cell r="C697">
            <v>33012</v>
          </cell>
          <cell r="D697">
            <v>2</v>
          </cell>
          <cell r="E697" t="str">
            <v>קשיח</v>
          </cell>
          <cell r="F697" t="str">
            <v>01.0055</v>
          </cell>
          <cell r="G697">
            <v>44913</v>
          </cell>
          <cell r="H697" t="str">
            <v>01.0055</v>
          </cell>
          <cell r="I697" t="str">
            <v>לוונשטיין טכנולוגיות בע"מ</v>
          </cell>
          <cell r="J697">
            <v>0.49</v>
          </cell>
          <cell r="K697" t="str">
            <v>₪</v>
          </cell>
          <cell r="L697">
            <v>2000</v>
          </cell>
          <cell r="M697" t="str">
            <v>יח'</v>
          </cell>
          <cell r="N697">
            <v>980</v>
          </cell>
        </row>
        <row r="698">
          <cell r="B698" t="str">
            <v xml:space="preserve"> Helicoil M4*1d - DIN 8140, free - Strip</v>
          </cell>
          <cell r="C698">
            <v>32738</v>
          </cell>
          <cell r="D698">
            <v>1</v>
          </cell>
          <cell r="E698" t="str">
            <v>קשיח</v>
          </cell>
          <cell r="F698" t="str">
            <v>01.0055</v>
          </cell>
          <cell r="G698">
            <v>44873</v>
          </cell>
          <cell r="H698" t="str">
            <v>01.0055</v>
          </cell>
          <cell r="I698" t="str">
            <v>לוונשטיין טכנולוגיות בע"מ</v>
          </cell>
          <cell r="J698">
            <v>0.49009999999999998</v>
          </cell>
          <cell r="K698" t="str">
            <v>₪</v>
          </cell>
          <cell r="L698">
            <v>2000</v>
          </cell>
          <cell r="M698" t="str">
            <v>יח'</v>
          </cell>
          <cell r="N698">
            <v>980.19999999999993</v>
          </cell>
        </row>
        <row r="699">
          <cell r="B699" t="str">
            <v xml:space="preserve"> Helicoil M4*1d - DIN 8140, free - Strip</v>
          </cell>
          <cell r="C699">
            <v>32399</v>
          </cell>
          <cell r="D699">
            <v>1</v>
          </cell>
          <cell r="E699" t="str">
            <v>קשיח</v>
          </cell>
          <cell r="F699" t="str">
            <v>01.0055</v>
          </cell>
          <cell r="G699">
            <v>44816</v>
          </cell>
          <cell r="H699" t="str">
            <v>01.0055</v>
          </cell>
          <cell r="I699" t="str">
            <v>לוונשטיין טכנולוגיות בע"מ</v>
          </cell>
          <cell r="J699">
            <v>0.49009999999999998</v>
          </cell>
          <cell r="K699" t="str">
            <v>₪</v>
          </cell>
          <cell r="L699">
            <v>2000</v>
          </cell>
          <cell r="M699" t="str">
            <v>יח'</v>
          </cell>
          <cell r="N699">
            <v>980.19999999999993</v>
          </cell>
        </row>
        <row r="700">
          <cell r="B700" t="str">
            <v xml:space="preserve"> Helicoil M4*1d - DIN 8140, free - Strip</v>
          </cell>
          <cell r="C700">
            <v>32230</v>
          </cell>
          <cell r="D700">
            <v>2</v>
          </cell>
          <cell r="E700" t="str">
            <v>קשיח</v>
          </cell>
          <cell r="F700" t="str">
            <v>01.0055</v>
          </cell>
          <cell r="G700">
            <v>44794</v>
          </cell>
          <cell r="H700" t="str">
            <v>01.0055</v>
          </cell>
          <cell r="I700" t="str">
            <v>לוונשטיין טכנולוגיות בע"מ</v>
          </cell>
          <cell r="J700">
            <v>0.49020000000000002</v>
          </cell>
          <cell r="K700" t="str">
            <v>₪</v>
          </cell>
          <cell r="L700">
            <v>1000</v>
          </cell>
          <cell r="M700" t="str">
            <v>יח'</v>
          </cell>
          <cell r="N700">
            <v>490.20000000000005</v>
          </cell>
        </row>
        <row r="701">
          <cell r="B701" t="str">
            <v xml:space="preserve"> Helicoil M4*1d - DIN 8140, free - Strip</v>
          </cell>
          <cell r="C701">
            <v>31776</v>
          </cell>
          <cell r="D701">
            <v>2</v>
          </cell>
          <cell r="E701" t="str">
            <v>קשיח</v>
          </cell>
          <cell r="F701" t="str">
            <v>01.0055</v>
          </cell>
          <cell r="G701">
            <v>44727</v>
          </cell>
          <cell r="H701" t="str">
            <v>01.0055</v>
          </cell>
          <cell r="I701" t="str">
            <v>לוונשטיין טכנולוגיות בע"מ</v>
          </cell>
          <cell r="J701">
            <v>0.49</v>
          </cell>
          <cell r="K701" t="str">
            <v>₪</v>
          </cell>
          <cell r="L701">
            <v>2000</v>
          </cell>
          <cell r="M701" t="str">
            <v>יח'</v>
          </cell>
          <cell r="N701">
            <v>980</v>
          </cell>
        </row>
        <row r="702">
          <cell r="B702" t="str">
            <v xml:space="preserve"> Helicoil M4*1d - DIN 8140, free - Strip</v>
          </cell>
          <cell r="C702">
            <v>31441</v>
          </cell>
          <cell r="D702">
            <v>1</v>
          </cell>
          <cell r="E702" t="str">
            <v>קשיח</v>
          </cell>
          <cell r="F702" t="str">
            <v>01.0055</v>
          </cell>
          <cell r="G702">
            <v>44683</v>
          </cell>
          <cell r="H702" t="str">
            <v>01.0055</v>
          </cell>
          <cell r="I702" t="str">
            <v>לוונשטיין טכנולוגיות בע"מ</v>
          </cell>
          <cell r="J702">
            <v>0.4899</v>
          </cell>
          <cell r="K702" t="str">
            <v>₪</v>
          </cell>
          <cell r="L702">
            <v>1000</v>
          </cell>
          <cell r="M702" t="str">
            <v>יח'</v>
          </cell>
          <cell r="N702">
            <v>489.9</v>
          </cell>
        </row>
        <row r="703">
          <cell r="B703" t="str">
            <v xml:space="preserve"> Helicoil M4*1d - DIN 8140, free - Strip</v>
          </cell>
          <cell r="C703">
            <v>31099</v>
          </cell>
          <cell r="D703">
            <v>1</v>
          </cell>
          <cell r="E703" t="str">
            <v>קשיח</v>
          </cell>
          <cell r="F703" t="str">
            <v>01.0055</v>
          </cell>
          <cell r="G703">
            <v>44636</v>
          </cell>
          <cell r="H703" t="str">
            <v>01.0055</v>
          </cell>
          <cell r="I703" t="str">
            <v>לוונשטיין טכנולוגיות בע"מ</v>
          </cell>
          <cell r="J703">
            <v>0.4899</v>
          </cell>
          <cell r="K703" t="str">
            <v>₪</v>
          </cell>
          <cell r="L703">
            <v>2000</v>
          </cell>
          <cell r="M703" t="str">
            <v>יח'</v>
          </cell>
          <cell r="N703">
            <v>979.8</v>
          </cell>
        </row>
        <row r="704">
          <cell r="B704" t="str">
            <v xml:space="preserve"> Helicoil M4*1d - DIN 8140, free - Strip</v>
          </cell>
          <cell r="C704">
            <v>31020</v>
          </cell>
          <cell r="D704">
            <v>2</v>
          </cell>
          <cell r="E704" t="str">
            <v>קשיח</v>
          </cell>
          <cell r="F704" t="str">
            <v>01.0055</v>
          </cell>
          <cell r="G704">
            <v>44623</v>
          </cell>
          <cell r="H704" t="str">
            <v>01.0055</v>
          </cell>
          <cell r="I704" t="str">
            <v>לוונשטיין טכנולוגיות בע"מ</v>
          </cell>
          <cell r="J704">
            <v>0.49</v>
          </cell>
          <cell r="K704" t="str">
            <v>₪</v>
          </cell>
          <cell r="L704">
            <v>2000</v>
          </cell>
          <cell r="M704" t="str">
            <v>יח'</v>
          </cell>
          <cell r="N704">
            <v>980</v>
          </cell>
        </row>
        <row r="705">
          <cell r="B705" t="str">
            <v xml:space="preserve"> Helicoil M4*1d - DIN 8140, free - Strip</v>
          </cell>
          <cell r="C705">
            <v>30801</v>
          </cell>
          <cell r="D705">
            <v>3</v>
          </cell>
          <cell r="E705" t="str">
            <v>קשיח</v>
          </cell>
          <cell r="F705" t="str">
            <v>01.0055</v>
          </cell>
          <cell r="G705">
            <v>44594</v>
          </cell>
          <cell r="H705" t="str">
            <v>01.0055</v>
          </cell>
          <cell r="I705" t="str">
            <v>לוונשטיין טכנולוגיות בע"מ</v>
          </cell>
          <cell r="J705">
            <v>0.49009999999999998</v>
          </cell>
          <cell r="K705" t="str">
            <v>₪</v>
          </cell>
          <cell r="L705">
            <v>1000</v>
          </cell>
          <cell r="M705" t="str">
            <v>יח'</v>
          </cell>
          <cell r="N705">
            <v>490.09999999999997</v>
          </cell>
        </row>
        <row r="706">
          <cell r="B706" t="str">
            <v xml:space="preserve"> Helicoil M4*1d - DIN 8140, free - Strip</v>
          </cell>
          <cell r="C706">
            <v>30578</v>
          </cell>
          <cell r="D706">
            <v>1</v>
          </cell>
          <cell r="E706" t="str">
            <v>קשיח</v>
          </cell>
          <cell r="F706" t="str">
            <v>01.0055</v>
          </cell>
          <cell r="G706">
            <v>44560</v>
          </cell>
          <cell r="H706" t="str">
            <v>01.0055</v>
          </cell>
          <cell r="I706" t="str">
            <v>לוונשטיין טכנולוגיות בע"מ</v>
          </cell>
          <cell r="J706">
            <v>0.49</v>
          </cell>
          <cell r="K706" t="str">
            <v>₪</v>
          </cell>
          <cell r="L706">
            <v>2000</v>
          </cell>
          <cell r="M706" t="str">
            <v>יח'</v>
          </cell>
          <cell r="N706">
            <v>980</v>
          </cell>
        </row>
        <row r="707">
          <cell r="B707" t="str">
            <v xml:space="preserve"> Helicoil M4*1d - DIN 8140, free - Strip</v>
          </cell>
          <cell r="C707">
            <v>29833</v>
          </cell>
          <cell r="D707">
            <v>2</v>
          </cell>
          <cell r="E707" t="str">
            <v>קשיח</v>
          </cell>
          <cell r="F707" t="str">
            <v>01.0055</v>
          </cell>
          <cell r="G707">
            <v>44468</v>
          </cell>
          <cell r="H707" t="str">
            <v>01.0055</v>
          </cell>
          <cell r="I707" t="str">
            <v>לוונשטיין טכנולוגיות בע"מ</v>
          </cell>
          <cell r="J707">
            <v>0.49009999999999998</v>
          </cell>
          <cell r="K707" t="str">
            <v>₪</v>
          </cell>
          <cell r="L707">
            <v>1000</v>
          </cell>
          <cell r="M707" t="str">
            <v>יח'</v>
          </cell>
          <cell r="N707">
            <v>490.09999999999997</v>
          </cell>
        </row>
        <row r="708">
          <cell r="B708" t="str">
            <v xml:space="preserve"> Helicoil M4*1d - DIN 8140, free - Strip</v>
          </cell>
          <cell r="C708">
            <v>29665</v>
          </cell>
          <cell r="D708">
            <v>1</v>
          </cell>
          <cell r="E708" t="str">
            <v>קשיח</v>
          </cell>
          <cell r="F708" t="str">
            <v>01.0055</v>
          </cell>
          <cell r="G708">
            <v>44439</v>
          </cell>
          <cell r="H708" t="str">
            <v>01.0055</v>
          </cell>
          <cell r="I708" t="str">
            <v>לוונשטיין טכנולוגיות</v>
          </cell>
          <cell r="J708">
            <v>0.49</v>
          </cell>
          <cell r="K708" t="str">
            <v>₪</v>
          </cell>
          <cell r="L708">
            <v>2000</v>
          </cell>
          <cell r="M708" t="str">
            <v>יח'</v>
          </cell>
          <cell r="N708">
            <v>980</v>
          </cell>
        </row>
        <row r="709">
          <cell r="B709" t="str">
            <v xml:space="preserve"> Helicoil M4*1d - DIN 8140, free - Strip</v>
          </cell>
          <cell r="C709">
            <v>29304</v>
          </cell>
          <cell r="D709">
            <v>2</v>
          </cell>
          <cell r="E709" t="str">
            <v>קשיח</v>
          </cell>
          <cell r="F709" t="str">
            <v>01.0055</v>
          </cell>
          <cell r="G709">
            <v>44391</v>
          </cell>
          <cell r="H709" t="str">
            <v>01.0055</v>
          </cell>
          <cell r="I709" t="str">
            <v>לוונשטיין טכנולוגיות</v>
          </cell>
          <cell r="J709">
            <v>0.49</v>
          </cell>
          <cell r="K709" t="str">
            <v>₪</v>
          </cell>
          <cell r="L709">
            <v>1000</v>
          </cell>
          <cell r="M709" t="str">
            <v>יח'</v>
          </cell>
          <cell r="N709">
            <v>490</v>
          </cell>
        </row>
        <row r="710">
          <cell r="B710" t="str">
            <v xml:space="preserve"> Helicoil M4*1d - DIN 8140, free - Strip</v>
          </cell>
          <cell r="C710">
            <v>28497</v>
          </cell>
          <cell r="D710">
            <v>1</v>
          </cell>
          <cell r="E710" t="str">
            <v>קשיח</v>
          </cell>
          <cell r="F710" t="str">
            <v>01.0055</v>
          </cell>
          <cell r="G710">
            <v>44286</v>
          </cell>
          <cell r="H710" t="str">
            <v>01.0055</v>
          </cell>
          <cell r="I710" t="str">
            <v>גין מהנדסים בע"מ</v>
          </cell>
          <cell r="J710">
            <v>0.44</v>
          </cell>
          <cell r="K710" t="str">
            <v>₪</v>
          </cell>
          <cell r="L710">
            <v>2200</v>
          </cell>
          <cell r="M710" t="str">
            <v>יח'</v>
          </cell>
          <cell r="N710">
            <v>968</v>
          </cell>
        </row>
        <row r="711">
          <cell r="B711" t="str">
            <v xml:space="preserve"> Helicoil M4*1d - DIN 8140, free - Strip</v>
          </cell>
          <cell r="C711">
            <v>28381</v>
          </cell>
          <cell r="D711">
            <v>1</v>
          </cell>
          <cell r="E711" t="str">
            <v>קשיח</v>
          </cell>
          <cell r="F711" t="str">
            <v>01.0055</v>
          </cell>
          <cell r="G711">
            <v>44269</v>
          </cell>
          <cell r="H711" t="str">
            <v>01.0055</v>
          </cell>
          <cell r="I711" t="str">
            <v>לוונשטיין טכנולוגיות</v>
          </cell>
          <cell r="J711">
            <v>0.49</v>
          </cell>
          <cell r="K711" t="str">
            <v>₪</v>
          </cell>
          <cell r="L711">
            <v>1000</v>
          </cell>
          <cell r="M711" t="str">
            <v>יח'</v>
          </cell>
          <cell r="N711">
            <v>490</v>
          </cell>
        </row>
        <row r="712">
          <cell r="B712" t="str">
            <v xml:space="preserve"> Helicoil M4*1d - DIN 8140, free - Strip</v>
          </cell>
          <cell r="C712">
            <v>28051</v>
          </cell>
          <cell r="D712">
            <v>3</v>
          </cell>
          <cell r="E712" t="str">
            <v>קשיח</v>
          </cell>
          <cell r="F712" t="str">
            <v>01.0055</v>
          </cell>
          <cell r="G712">
            <v>44224</v>
          </cell>
          <cell r="H712" t="str">
            <v>01.0055</v>
          </cell>
          <cell r="I712" t="str">
            <v>דר טכנולוגיות בע"מ</v>
          </cell>
          <cell r="J712">
            <v>0.45</v>
          </cell>
          <cell r="K712" t="str">
            <v>₪</v>
          </cell>
          <cell r="L712">
            <v>1000</v>
          </cell>
          <cell r="M712" t="str">
            <v>יח'</v>
          </cell>
          <cell r="N712">
            <v>450</v>
          </cell>
        </row>
        <row r="713">
          <cell r="B713" t="str">
            <v xml:space="preserve"> Helicoil M4*1d - DIN 8140, free - Strip</v>
          </cell>
          <cell r="C713">
            <v>27861</v>
          </cell>
          <cell r="D713">
            <v>1</v>
          </cell>
          <cell r="E713" t="str">
            <v>קשיח</v>
          </cell>
          <cell r="F713" t="str">
            <v>01.0055</v>
          </cell>
          <cell r="G713">
            <v>44195</v>
          </cell>
          <cell r="H713" t="str">
            <v>01.0055</v>
          </cell>
          <cell r="I713" t="str">
            <v>דר טכנולוגיות בע"מ</v>
          </cell>
          <cell r="J713">
            <v>0.46</v>
          </cell>
          <cell r="K713" t="str">
            <v>₪</v>
          </cell>
          <cell r="L713">
            <v>1000</v>
          </cell>
          <cell r="M713" t="str">
            <v>יח'</v>
          </cell>
          <cell r="N713">
            <v>460</v>
          </cell>
        </row>
        <row r="714">
          <cell r="B714" t="str">
            <v xml:space="preserve"> Helicoil M4*1d - DIN 8140, free - Strip</v>
          </cell>
          <cell r="C714">
            <v>26786</v>
          </cell>
          <cell r="D714">
            <v>1</v>
          </cell>
          <cell r="E714" t="str">
            <v>קשיח</v>
          </cell>
          <cell r="F714" t="str">
            <v>01.0055</v>
          </cell>
          <cell r="G714">
            <v>44045</v>
          </cell>
          <cell r="H714" t="str">
            <v>01.0055</v>
          </cell>
          <cell r="I714" t="str">
            <v>דר טכנולוגיות בע"מ</v>
          </cell>
          <cell r="J714">
            <v>0.46</v>
          </cell>
          <cell r="K714" t="str">
            <v>₪</v>
          </cell>
          <cell r="L714">
            <v>1000</v>
          </cell>
          <cell r="M714" t="str">
            <v>יח'</v>
          </cell>
          <cell r="N714">
            <v>460</v>
          </cell>
        </row>
        <row r="715">
          <cell r="B715" t="str">
            <v>M4*1d</v>
          </cell>
          <cell r="C715">
            <v>1847</v>
          </cell>
          <cell r="D715">
            <v>2</v>
          </cell>
          <cell r="E715" t="str">
            <v>קשיח</v>
          </cell>
          <cell r="F715" t="str">
            <v>01.0055</v>
          </cell>
          <cell r="G715">
            <v>41305</v>
          </cell>
          <cell r="H715" t="str">
            <v>01.0055</v>
          </cell>
          <cell r="I715" t="str">
            <v>טמבור הפצות בע"מ</v>
          </cell>
          <cell r="J715">
            <v>0</v>
          </cell>
          <cell r="K715" t="str">
            <v>$</v>
          </cell>
          <cell r="M715" t="str">
            <v>יח'</v>
          </cell>
        </row>
        <row r="716">
          <cell r="B716" t="str">
            <v xml:space="preserve"> Helicoil M4*1.5d -Free</v>
          </cell>
          <cell r="C716">
            <v>44523</v>
          </cell>
          <cell r="D716">
            <v>1</v>
          </cell>
          <cell r="E716" t="str">
            <v>קשיח</v>
          </cell>
          <cell r="F716" t="str">
            <v>01.0056</v>
          </cell>
          <cell r="G716">
            <v>46042</v>
          </cell>
          <cell r="H716" t="str">
            <v>01.0056</v>
          </cell>
          <cell r="I716" t="str">
            <v>לוונשטיין טכנולוגיות בע"מ</v>
          </cell>
          <cell r="J716">
            <v>0.52</v>
          </cell>
          <cell r="K716" t="str">
            <v>₪</v>
          </cell>
          <cell r="L716">
            <v>1500</v>
          </cell>
          <cell r="M716" t="str">
            <v>יח'</v>
          </cell>
          <cell r="N716">
            <v>780</v>
          </cell>
        </row>
        <row r="717">
          <cell r="B717" t="str">
            <v xml:space="preserve"> Helicoil M4*1.5d -Free</v>
          </cell>
          <cell r="C717">
            <v>42985</v>
          </cell>
          <cell r="D717">
            <v>1</v>
          </cell>
          <cell r="E717" t="str">
            <v>קשיח</v>
          </cell>
          <cell r="F717" t="str">
            <v>01.0056</v>
          </cell>
          <cell r="G717">
            <v>45999</v>
          </cell>
          <cell r="H717" t="str">
            <v>01.0056</v>
          </cell>
          <cell r="I717" t="str">
            <v>לוונשטיין טכנולוגיות בע"מ</v>
          </cell>
          <cell r="J717">
            <v>0.52</v>
          </cell>
          <cell r="K717" t="str">
            <v>₪</v>
          </cell>
          <cell r="L717">
            <v>1500</v>
          </cell>
          <cell r="M717" t="str">
            <v>יח'</v>
          </cell>
          <cell r="N717">
            <v>780</v>
          </cell>
        </row>
        <row r="718">
          <cell r="B718" t="str">
            <v xml:space="preserve"> Helicoil M4*1.5d -Free</v>
          </cell>
          <cell r="C718">
            <v>42856</v>
          </cell>
          <cell r="D718">
            <v>1</v>
          </cell>
          <cell r="E718" t="str">
            <v>קשיח</v>
          </cell>
          <cell r="F718" t="str">
            <v>01.0056</v>
          </cell>
          <cell r="G718">
            <v>45988</v>
          </cell>
          <cell r="H718" t="str">
            <v>01.0056</v>
          </cell>
          <cell r="I718" t="str">
            <v>לוונשטיין טכנולוגיות בע"מ</v>
          </cell>
          <cell r="J718">
            <v>0.52</v>
          </cell>
          <cell r="K718" t="str">
            <v>₪</v>
          </cell>
          <cell r="L718">
            <v>1500</v>
          </cell>
          <cell r="M718" t="str">
            <v>יח'</v>
          </cell>
          <cell r="N718">
            <v>780</v>
          </cell>
        </row>
        <row r="719">
          <cell r="B719" t="str">
            <v xml:space="preserve"> Helicoil M4*1.5d -Free</v>
          </cell>
          <cell r="C719">
            <v>42517</v>
          </cell>
          <cell r="D719">
            <v>1</v>
          </cell>
          <cell r="E719" t="str">
            <v>קשיח</v>
          </cell>
          <cell r="F719" t="str">
            <v>01.0056</v>
          </cell>
          <cell r="G719">
            <v>45959</v>
          </cell>
          <cell r="H719" t="str">
            <v>01.0056</v>
          </cell>
          <cell r="I719" t="str">
            <v>לוונשטיין טכנולוגיות בע"מ</v>
          </cell>
          <cell r="J719">
            <v>0.52</v>
          </cell>
          <cell r="K719" t="str">
            <v>₪</v>
          </cell>
          <cell r="L719">
            <v>1500</v>
          </cell>
          <cell r="M719" t="str">
            <v>יח'</v>
          </cell>
          <cell r="N719">
            <v>780</v>
          </cell>
        </row>
        <row r="720">
          <cell r="B720" t="str">
            <v xml:space="preserve"> Helicoil M4*1.5d -Free</v>
          </cell>
          <cell r="C720">
            <v>42074</v>
          </cell>
          <cell r="D720">
            <v>1</v>
          </cell>
          <cell r="E720" t="str">
            <v>קשיח</v>
          </cell>
          <cell r="F720" t="str">
            <v>01.0056</v>
          </cell>
          <cell r="G720">
            <v>45908</v>
          </cell>
          <cell r="H720" t="str">
            <v>01.0056</v>
          </cell>
          <cell r="I720" t="str">
            <v>לוונשטיין טכנולוגיות בע"מ</v>
          </cell>
          <cell r="J720">
            <v>0.52</v>
          </cell>
          <cell r="K720" t="str">
            <v>₪</v>
          </cell>
          <cell r="L720">
            <v>1500</v>
          </cell>
          <cell r="M720" t="str">
            <v>יח'</v>
          </cell>
          <cell r="N720">
            <v>780</v>
          </cell>
        </row>
        <row r="721">
          <cell r="B721" t="str">
            <v xml:space="preserve"> Helicoil M4*1.5d -Free</v>
          </cell>
          <cell r="C721">
            <v>36226</v>
          </cell>
          <cell r="D721">
            <v>1</v>
          </cell>
          <cell r="E721" t="str">
            <v>קשיח</v>
          </cell>
          <cell r="F721" t="str">
            <v>01.0056</v>
          </cell>
          <cell r="G721">
            <v>45315</v>
          </cell>
          <cell r="H721" t="str">
            <v>01.0056</v>
          </cell>
          <cell r="I721" t="str">
            <v>לוונשטיין טכנולוגיות בע"מ</v>
          </cell>
          <cell r="J721">
            <v>0.52</v>
          </cell>
          <cell r="K721" t="str">
            <v>₪</v>
          </cell>
          <cell r="L721">
            <v>2000</v>
          </cell>
          <cell r="M721" t="str">
            <v>יח'</v>
          </cell>
          <cell r="N721">
            <v>1040</v>
          </cell>
        </row>
        <row r="722">
          <cell r="B722" t="str">
            <v xml:space="preserve"> Helicoil M4*1.5d -Free</v>
          </cell>
          <cell r="C722">
            <v>36197</v>
          </cell>
          <cell r="D722">
            <v>1</v>
          </cell>
          <cell r="E722" t="str">
            <v>קשיח</v>
          </cell>
          <cell r="F722" t="str">
            <v>01.0056</v>
          </cell>
          <cell r="G722">
            <v>45313</v>
          </cell>
          <cell r="H722" t="str">
            <v>01.0056</v>
          </cell>
          <cell r="I722" t="str">
            <v>לוונשטיין טכנולוגיות בע"מ</v>
          </cell>
          <cell r="J722">
            <v>0.52</v>
          </cell>
          <cell r="K722" t="str">
            <v>₪</v>
          </cell>
          <cell r="L722">
            <v>1500</v>
          </cell>
          <cell r="M722" t="str">
            <v>יח'</v>
          </cell>
          <cell r="N722">
            <v>780</v>
          </cell>
        </row>
        <row r="723">
          <cell r="B723" t="str">
            <v xml:space="preserve"> Helicoil M4*1.5d -Free</v>
          </cell>
          <cell r="C723">
            <v>35845</v>
          </cell>
          <cell r="D723">
            <v>1</v>
          </cell>
          <cell r="E723" t="str">
            <v>קשיח</v>
          </cell>
          <cell r="F723" t="str">
            <v>01.0056</v>
          </cell>
          <cell r="G723">
            <v>45278</v>
          </cell>
          <cell r="H723" t="str">
            <v>01.0056</v>
          </cell>
          <cell r="I723" t="str">
            <v>לוונשטיין טכנולוגיות בע"מ</v>
          </cell>
          <cell r="J723">
            <v>0.52</v>
          </cell>
          <cell r="K723" t="str">
            <v>₪</v>
          </cell>
          <cell r="L723">
            <v>1500</v>
          </cell>
          <cell r="M723" t="str">
            <v>יח'</v>
          </cell>
          <cell r="N723">
            <v>780</v>
          </cell>
        </row>
        <row r="724">
          <cell r="B724" t="str">
            <v xml:space="preserve"> Helicoil M4*1.5d -Free</v>
          </cell>
          <cell r="C724">
            <v>35627</v>
          </cell>
          <cell r="D724">
            <v>1</v>
          </cell>
          <cell r="E724" t="str">
            <v>קשיח</v>
          </cell>
          <cell r="F724" t="str">
            <v>01.0056</v>
          </cell>
          <cell r="G724">
            <v>45253</v>
          </cell>
          <cell r="H724" t="str">
            <v>01.0056</v>
          </cell>
          <cell r="I724" t="str">
            <v>לוונשטיין טכנולוגיות בע"מ</v>
          </cell>
          <cell r="J724">
            <v>0.52</v>
          </cell>
          <cell r="K724" t="str">
            <v>₪</v>
          </cell>
          <cell r="L724">
            <v>18000</v>
          </cell>
          <cell r="M724" t="str">
            <v>יח'</v>
          </cell>
          <cell r="N724">
            <v>9360</v>
          </cell>
        </row>
        <row r="725">
          <cell r="B725" t="str">
            <v xml:space="preserve"> Helicoil M4*1.5d -Free</v>
          </cell>
          <cell r="C725">
            <v>35427</v>
          </cell>
          <cell r="D725">
            <v>3</v>
          </cell>
          <cell r="E725" t="str">
            <v>קשיח</v>
          </cell>
          <cell r="F725" t="str">
            <v>01.0056</v>
          </cell>
          <cell r="G725">
            <v>45229</v>
          </cell>
          <cell r="H725" t="str">
            <v>01.0056</v>
          </cell>
          <cell r="I725" t="str">
            <v>לוונשטיין טכנולוגיות בע"מ</v>
          </cell>
          <cell r="J725">
            <v>0.56000000000000005</v>
          </cell>
          <cell r="K725" t="str">
            <v>₪</v>
          </cell>
          <cell r="L725">
            <v>3000</v>
          </cell>
          <cell r="M725" t="str">
            <v>יח'</v>
          </cell>
          <cell r="N725">
            <v>1680.0000000000002</v>
          </cell>
        </row>
        <row r="726">
          <cell r="B726" t="str">
            <v xml:space="preserve"> Helicoil M4*1.5d -Free</v>
          </cell>
          <cell r="C726">
            <v>35407</v>
          </cell>
          <cell r="D726">
            <v>1</v>
          </cell>
          <cell r="E726" t="str">
            <v>קשיח</v>
          </cell>
          <cell r="F726" t="str">
            <v>01.0056</v>
          </cell>
          <cell r="G726">
            <v>45225</v>
          </cell>
          <cell r="H726" t="str">
            <v>01.0056</v>
          </cell>
          <cell r="I726" t="str">
            <v>לוונשטיין טכנולוגיות בע"מ</v>
          </cell>
          <cell r="J726">
            <v>0.56000000000000005</v>
          </cell>
          <cell r="K726" t="str">
            <v>₪</v>
          </cell>
          <cell r="L726">
            <v>3000</v>
          </cell>
          <cell r="M726" t="str">
            <v>יח'</v>
          </cell>
          <cell r="N726">
            <v>1680.0000000000002</v>
          </cell>
        </row>
        <row r="727">
          <cell r="B727" t="str">
            <v xml:space="preserve"> Helicoil M4*1.5d -Free</v>
          </cell>
          <cell r="C727">
            <v>34962</v>
          </cell>
          <cell r="D727">
            <v>2</v>
          </cell>
          <cell r="E727" t="str">
            <v>קשיח</v>
          </cell>
          <cell r="F727" t="str">
            <v>01.0056</v>
          </cell>
          <cell r="G727">
            <v>45168</v>
          </cell>
          <cell r="H727" t="str">
            <v>01.0056</v>
          </cell>
          <cell r="I727" t="str">
            <v>לוונשטיין טכנולוגיות בע"מ</v>
          </cell>
          <cell r="J727">
            <v>0.56000000000000005</v>
          </cell>
          <cell r="K727" t="str">
            <v>₪</v>
          </cell>
          <cell r="L727">
            <v>3000</v>
          </cell>
          <cell r="M727" t="str">
            <v>יח'</v>
          </cell>
          <cell r="N727">
            <v>1680.0000000000002</v>
          </cell>
        </row>
        <row r="728">
          <cell r="B728" t="str">
            <v xml:space="preserve"> Helicoil M4*1.5d -Free</v>
          </cell>
          <cell r="C728">
            <v>34478</v>
          </cell>
          <cell r="D728">
            <v>1</v>
          </cell>
          <cell r="E728" t="str">
            <v>קשיח</v>
          </cell>
          <cell r="F728" t="str">
            <v>01.0056</v>
          </cell>
          <cell r="G728">
            <v>45119</v>
          </cell>
          <cell r="H728" t="str">
            <v>01.0056</v>
          </cell>
          <cell r="I728" t="str">
            <v>לוונשטיין טכנולוגיות בע"מ</v>
          </cell>
          <cell r="J728">
            <v>0.56000000000000005</v>
          </cell>
          <cell r="K728" t="str">
            <v>₪</v>
          </cell>
          <cell r="L728">
            <v>3000</v>
          </cell>
          <cell r="M728" t="str">
            <v>יח'</v>
          </cell>
          <cell r="N728">
            <v>1680.0000000000002</v>
          </cell>
        </row>
        <row r="729">
          <cell r="B729" t="str">
            <v xml:space="preserve"> Helicoil M4*1.5d -Free</v>
          </cell>
          <cell r="C729">
            <v>34038</v>
          </cell>
          <cell r="D729">
            <v>1</v>
          </cell>
          <cell r="E729" t="str">
            <v>קשיח</v>
          </cell>
          <cell r="F729" t="str">
            <v>01.0056</v>
          </cell>
          <cell r="G729">
            <v>45070</v>
          </cell>
          <cell r="H729" t="str">
            <v>01.0056</v>
          </cell>
          <cell r="I729" t="str">
            <v>לוונשטיין טכנולוגיות בע"מ</v>
          </cell>
          <cell r="J729">
            <v>0.56000000000000005</v>
          </cell>
          <cell r="K729" t="str">
            <v>₪</v>
          </cell>
          <cell r="L729">
            <v>1500</v>
          </cell>
          <cell r="M729" t="str">
            <v>יח'</v>
          </cell>
          <cell r="N729">
            <v>840.00000000000011</v>
          </cell>
        </row>
        <row r="730">
          <cell r="B730" t="str">
            <v xml:space="preserve"> Helicoil M4*1.5d -Free</v>
          </cell>
          <cell r="C730">
            <v>33784</v>
          </cell>
          <cell r="D730">
            <v>1</v>
          </cell>
          <cell r="E730" t="str">
            <v>קשיח</v>
          </cell>
          <cell r="F730" t="str">
            <v>01.0056</v>
          </cell>
          <cell r="G730">
            <v>45039</v>
          </cell>
          <cell r="H730" t="str">
            <v>01.0056</v>
          </cell>
          <cell r="I730" t="str">
            <v>לוונשטיין טכנולוגיות בע"מ</v>
          </cell>
          <cell r="J730">
            <v>0.56000000000000005</v>
          </cell>
          <cell r="K730" t="str">
            <v>₪</v>
          </cell>
          <cell r="L730">
            <v>3000</v>
          </cell>
          <cell r="M730" t="str">
            <v>יח'</v>
          </cell>
          <cell r="N730">
            <v>1680.0000000000002</v>
          </cell>
        </row>
        <row r="731">
          <cell r="B731" t="str">
            <v xml:space="preserve"> Helicoil M4*1.5d -Free</v>
          </cell>
          <cell r="C731">
            <v>33498</v>
          </cell>
          <cell r="D731">
            <v>5</v>
          </cell>
          <cell r="E731" t="str">
            <v>קשיח</v>
          </cell>
          <cell r="F731" t="str">
            <v>01.0056</v>
          </cell>
          <cell r="G731">
            <v>44986</v>
          </cell>
          <cell r="H731" t="str">
            <v>01.0056</v>
          </cell>
          <cell r="I731" t="str">
            <v>לוונשטיין טכנולוגיות בע"מ</v>
          </cell>
          <cell r="J731">
            <v>0.56000000000000005</v>
          </cell>
          <cell r="K731" t="str">
            <v>₪</v>
          </cell>
          <cell r="L731">
            <v>3000</v>
          </cell>
          <cell r="M731" t="str">
            <v>יח'</v>
          </cell>
          <cell r="N731">
            <v>1680.0000000000002</v>
          </cell>
        </row>
        <row r="732">
          <cell r="B732" t="str">
            <v xml:space="preserve"> Helicoil M4*1.5d -Free</v>
          </cell>
          <cell r="C732">
            <v>33272</v>
          </cell>
          <cell r="D732">
            <v>1</v>
          </cell>
          <cell r="E732" t="str">
            <v>קשיח</v>
          </cell>
          <cell r="F732" t="str">
            <v>01.0056</v>
          </cell>
          <cell r="G732">
            <v>44951</v>
          </cell>
          <cell r="H732" t="str">
            <v>01.0056</v>
          </cell>
          <cell r="I732" t="str">
            <v>גין מהנדסים בע"מ</v>
          </cell>
          <cell r="J732">
            <v>0.5</v>
          </cell>
          <cell r="K732" t="str">
            <v>₪</v>
          </cell>
          <cell r="L732">
            <v>3000</v>
          </cell>
          <cell r="M732" t="str">
            <v>יח'</v>
          </cell>
          <cell r="N732">
            <v>1500</v>
          </cell>
        </row>
        <row r="733">
          <cell r="B733" t="str">
            <v xml:space="preserve"> Helicoil M4*1.5d -Free</v>
          </cell>
          <cell r="C733">
            <v>33260</v>
          </cell>
          <cell r="D733">
            <v>1</v>
          </cell>
          <cell r="E733" t="str">
            <v>קשיח</v>
          </cell>
          <cell r="F733" t="str">
            <v>01.0056</v>
          </cell>
          <cell r="G733">
            <v>44950</v>
          </cell>
          <cell r="H733" t="str">
            <v>01.0056</v>
          </cell>
          <cell r="I733" t="str">
            <v>לוונשטיין טכנולוגיות בע"מ</v>
          </cell>
          <cell r="J733">
            <v>0.56000000000000005</v>
          </cell>
          <cell r="K733" t="str">
            <v>₪</v>
          </cell>
          <cell r="L733">
            <v>3000</v>
          </cell>
          <cell r="M733" t="str">
            <v>יח'</v>
          </cell>
          <cell r="N733">
            <v>1680.0000000000002</v>
          </cell>
        </row>
        <row r="734">
          <cell r="B734" t="str">
            <v xml:space="preserve"> Helicoil M4*1.5d -Free</v>
          </cell>
          <cell r="C734">
            <v>33012</v>
          </cell>
          <cell r="D734">
            <v>1</v>
          </cell>
          <cell r="E734" t="str">
            <v>קשיח</v>
          </cell>
          <cell r="F734" t="str">
            <v>01.0056</v>
          </cell>
          <cell r="G734">
            <v>44913</v>
          </cell>
          <cell r="H734" t="str">
            <v>01.0056</v>
          </cell>
          <cell r="I734" t="str">
            <v>לוונשטיין טכנולוגיות בע"מ</v>
          </cell>
          <cell r="J734">
            <v>840.00019999999995</v>
          </cell>
          <cell r="K734" t="str">
            <v>₪</v>
          </cell>
          <cell r="L734">
            <v>2</v>
          </cell>
          <cell r="M734" t="str">
            <v>יח'</v>
          </cell>
          <cell r="N734">
            <v>1680.0003999999999</v>
          </cell>
        </row>
        <row r="735">
          <cell r="B735" t="str">
            <v xml:space="preserve"> Helicoil M4*1.5d -Free</v>
          </cell>
          <cell r="C735">
            <v>32738</v>
          </cell>
          <cell r="D735">
            <v>2</v>
          </cell>
          <cell r="E735" t="str">
            <v>קשיח</v>
          </cell>
          <cell r="F735" t="str">
            <v>01.0056</v>
          </cell>
          <cell r="G735">
            <v>44873</v>
          </cell>
          <cell r="H735" t="str">
            <v>01.0056</v>
          </cell>
          <cell r="I735" t="str">
            <v>לוונשטיין טכנולוגיות בע"מ</v>
          </cell>
          <cell r="J735">
            <v>840.00019999999995</v>
          </cell>
          <cell r="K735" t="str">
            <v>₪</v>
          </cell>
          <cell r="L735">
            <v>2</v>
          </cell>
          <cell r="M735" t="str">
            <v>יח'</v>
          </cell>
          <cell r="N735">
            <v>1680.0003999999999</v>
          </cell>
        </row>
        <row r="736">
          <cell r="B736" t="str">
            <v xml:space="preserve"> Helicoil M4*1.5d -Free</v>
          </cell>
          <cell r="C736">
            <v>32230</v>
          </cell>
          <cell r="D736">
            <v>1</v>
          </cell>
          <cell r="E736" t="str">
            <v>קשיח</v>
          </cell>
          <cell r="F736" t="str">
            <v>01.0056</v>
          </cell>
          <cell r="G736">
            <v>44794</v>
          </cell>
          <cell r="H736" t="str">
            <v>01.0056</v>
          </cell>
          <cell r="I736" t="str">
            <v>לוונשטיין טכנולוגיות בע"מ</v>
          </cell>
          <cell r="J736">
            <v>840.00009999999997</v>
          </cell>
          <cell r="K736" t="str">
            <v>₪</v>
          </cell>
          <cell r="L736">
            <v>2</v>
          </cell>
          <cell r="M736" t="str">
            <v>יח'</v>
          </cell>
          <cell r="N736">
            <v>1680.0001999999999</v>
          </cell>
        </row>
        <row r="737">
          <cell r="B737" t="str">
            <v xml:space="preserve"> Helicoil M4*1.5d -Free</v>
          </cell>
          <cell r="C737">
            <v>32021</v>
          </cell>
          <cell r="D737">
            <v>1</v>
          </cell>
          <cell r="E737" t="str">
            <v>קשיח</v>
          </cell>
          <cell r="F737" t="str">
            <v>01.0056</v>
          </cell>
          <cell r="G737">
            <v>44763</v>
          </cell>
          <cell r="H737" t="str">
            <v>01.0056</v>
          </cell>
          <cell r="I737" t="str">
            <v>לוונשטיין טכנולוגיות בע"מ</v>
          </cell>
          <cell r="J737">
            <v>840.00009999999997</v>
          </cell>
          <cell r="K737" t="str">
            <v>₪</v>
          </cell>
          <cell r="L737">
            <v>2</v>
          </cell>
          <cell r="M737" t="str">
            <v>יח'</v>
          </cell>
          <cell r="N737">
            <v>1680.0001999999999</v>
          </cell>
        </row>
        <row r="738">
          <cell r="B738" t="str">
            <v xml:space="preserve"> Helicoil M4*1.5d -Free</v>
          </cell>
          <cell r="C738">
            <v>31776</v>
          </cell>
          <cell r="D738">
            <v>1</v>
          </cell>
          <cell r="E738" t="str">
            <v>קשיח</v>
          </cell>
          <cell r="F738" t="str">
            <v>01.0056</v>
          </cell>
          <cell r="G738">
            <v>44727</v>
          </cell>
          <cell r="H738" t="str">
            <v>01.0056</v>
          </cell>
          <cell r="I738" t="str">
            <v>לוונשטיין טכנולוגיות בע"מ</v>
          </cell>
          <cell r="J738">
            <v>840.00019999999995</v>
          </cell>
          <cell r="K738" t="str">
            <v>₪</v>
          </cell>
          <cell r="L738">
            <v>2</v>
          </cell>
          <cell r="M738" t="str">
            <v>יח'</v>
          </cell>
          <cell r="N738">
            <v>1680.0003999999999</v>
          </cell>
        </row>
        <row r="739">
          <cell r="B739" t="str">
            <v xml:space="preserve"> Helicoil M4*1.5d -Free</v>
          </cell>
          <cell r="C739">
            <v>31441</v>
          </cell>
          <cell r="D739">
            <v>2</v>
          </cell>
          <cell r="E739" t="str">
            <v>קשיח</v>
          </cell>
          <cell r="F739" t="str">
            <v>01.0056</v>
          </cell>
          <cell r="G739">
            <v>44683</v>
          </cell>
          <cell r="H739" t="str">
            <v>01.0056</v>
          </cell>
          <cell r="I739" t="str">
            <v>לוונשטיין טכנולוגיות בע"מ</v>
          </cell>
          <cell r="J739">
            <v>840.00009999999997</v>
          </cell>
          <cell r="K739" t="str">
            <v>₪</v>
          </cell>
          <cell r="L739">
            <v>2</v>
          </cell>
          <cell r="M739" t="str">
            <v>יח'</v>
          </cell>
          <cell r="N739">
            <v>1680.0001999999999</v>
          </cell>
        </row>
        <row r="740">
          <cell r="B740" t="str">
            <v xml:space="preserve"> Helicoil M4*1.5d -Free</v>
          </cell>
          <cell r="C740">
            <v>31099</v>
          </cell>
          <cell r="D740">
            <v>2</v>
          </cell>
          <cell r="E740" t="str">
            <v>קשיח</v>
          </cell>
          <cell r="F740" t="str">
            <v>01.0056</v>
          </cell>
          <cell r="G740">
            <v>44636</v>
          </cell>
          <cell r="H740" t="str">
            <v>01.0056</v>
          </cell>
          <cell r="I740" t="str">
            <v>לוונשטיין טכנולוגיות בע"מ</v>
          </cell>
          <cell r="J740">
            <v>839.99990000000003</v>
          </cell>
          <cell r="K740" t="str">
            <v>₪</v>
          </cell>
          <cell r="L740">
            <v>2</v>
          </cell>
          <cell r="M740" t="str">
            <v>יח'</v>
          </cell>
          <cell r="N740">
            <v>1679.9998000000001</v>
          </cell>
        </row>
        <row r="741">
          <cell r="B741" t="str">
            <v xml:space="preserve"> Helicoil M4*1.5d -Free</v>
          </cell>
          <cell r="C741">
            <v>31020</v>
          </cell>
          <cell r="D741">
            <v>1</v>
          </cell>
          <cell r="E741" t="str">
            <v>קשיח</v>
          </cell>
          <cell r="F741" t="str">
            <v>01.0056</v>
          </cell>
          <cell r="G741">
            <v>44623</v>
          </cell>
          <cell r="H741" t="str">
            <v>01.0056</v>
          </cell>
          <cell r="I741" t="str">
            <v>לוונשטיין טכנולוגיות בע"מ</v>
          </cell>
          <cell r="J741">
            <v>839.99990000000003</v>
          </cell>
          <cell r="K741" t="str">
            <v>₪</v>
          </cell>
          <cell r="L741">
            <v>1</v>
          </cell>
          <cell r="M741" t="str">
            <v>יח'</v>
          </cell>
          <cell r="N741">
            <v>839.99990000000003</v>
          </cell>
        </row>
        <row r="742">
          <cell r="B742" t="str">
            <v xml:space="preserve"> Helicoil M4*1.5d -Free</v>
          </cell>
          <cell r="C742">
            <v>30801</v>
          </cell>
          <cell r="D742">
            <v>2</v>
          </cell>
          <cell r="E742" t="str">
            <v>קשיח</v>
          </cell>
          <cell r="F742" t="str">
            <v>01.0056</v>
          </cell>
          <cell r="G742">
            <v>44594</v>
          </cell>
          <cell r="H742" t="str">
            <v>01.0056</v>
          </cell>
          <cell r="I742" t="str">
            <v>לוונשטיין טכנולוגיות בע"מ</v>
          </cell>
          <cell r="J742">
            <v>840</v>
          </cell>
          <cell r="K742" t="str">
            <v>₪</v>
          </cell>
          <cell r="L742">
            <v>1</v>
          </cell>
          <cell r="M742" t="str">
            <v>יח'</v>
          </cell>
          <cell r="N742">
            <v>840</v>
          </cell>
        </row>
        <row r="743">
          <cell r="B743" t="str">
            <v xml:space="preserve"> Helicoil M4*1.5d -Free</v>
          </cell>
          <cell r="C743">
            <v>30578</v>
          </cell>
          <cell r="D743">
            <v>2</v>
          </cell>
          <cell r="E743" t="str">
            <v>קשיח</v>
          </cell>
          <cell r="F743" t="str">
            <v>01.0056</v>
          </cell>
          <cell r="G743">
            <v>44560</v>
          </cell>
          <cell r="H743" t="str">
            <v>01.0056</v>
          </cell>
          <cell r="I743" t="str">
            <v>לוונשטיין טכנולוגיות בע"מ</v>
          </cell>
          <cell r="J743">
            <v>839.99990000000003</v>
          </cell>
          <cell r="K743" t="str">
            <v>₪</v>
          </cell>
          <cell r="L743">
            <v>2</v>
          </cell>
          <cell r="M743" t="str">
            <v>יח'</v>
          </cell>
          <cell r="N743">
            <v>1679.9998000000001</v>
          </cell>
        </row>
        <row r="744">
          <cell r="B744" t="str">
            <v xml:space="preserve"> Helicoil M4*1.5d -Free</v>
          </cell>
          <cell r="C744">
            <v>29833</v>
          </cell>
          <cell r="D744">
            <v>1</v>
          </cell>
          <cell r="E744" t="str">
            <v>קשיח</v>
          </cell>
          <cell r="F744" t="str">
            <v>01.0056</v>
          </cell>
          <cell r="G744">
            <v>44468</v>
          </cell>
          <cell r="H744" t="str">
            <v>01.0056</v>
          </cell>
          <cell r="I744" t="str">
            <v>לוונשטיין טכנולוגיות בע"מ</v>
          </cell>
          <cell r="J744">
            <v>840</v>
          </cell>
          <cell r="K744" t="str">
            <v>₪</v>
          </cell>
          <cell r="L744">
            <v>2</v>
          </cell>
          <cell r="M744" t="str">
            <v>יח'</v>
          </cell>
          <cell r="N744">
            <v>1680</v>
          </cell>
        </row>
        <row r="745">
          <cell r="B745" t="str">
            <v xml:space="preserve"> Helicoil M4*1.5d -Free 1500יח</v>
          </cell>
          <cell r="C745">
            <v>29706</v>
          </cell>
          <cell r="D745">
            <v>2</v>
          </cell>
          <cell r="E745" t="str">
            <v>קשיח</v>
          </cell>
          <cell r="F745" t="str">
            <v>01.0056</v>
          </cell>
          <cell r="G745">
            <v>44448</v>
          </cell>
          <cell r="H745" t="str">
            <v>01.0056</v>
          </cell>
          <cell r="I745" t="str">
            <v>לוונשטיין טכנולוגיות</v>
          </cell>
          <cell r="J745">
            <v>840</v>
          </cell>
          <cell r="K745" t="str">
            <v>₪</v>
          </cell>
          <cell r="L745">
            <v>2</v>
          </cell>
          <cell r="M745" t="str">
            <v>יח'</v>
          </cell>
          <cell r="N745">
            <v>1680</v>
          </cell>
        </row>
        <row r="746">
          <cell r="B746" t="str">
            <v xml:space="preserve"> Helicoil M4*1.5d -Free</v>
          </cell>
          <cell r="C746">
            <v>29459</v>
          </cell>
          <cell r="D746">
            <v>2</v>
          </cell>
          <cell r="E746" t="str">
            <v>קשיח</v>
          </cell>
          <cell r="F746" t="str">
            <v>01.0056</v>
          </cell>
          <cell r="G746">
            <v>44409</v>
          </cell>
          <cell r="H746" t="str">
            <v>01.0056</v>
          </cell>
          <cell r="I746" t="str">
            <v>לוונשטיין טכנולוגיות</v>
          </cell>
          <cell r="J746">
            <v>0.56000000000000005</v>
          </cell>
          <cell r="K746" t="str">
            <v>₪</v>
          </cell>
          <cell r="L746">
            <v>1500</v>
          </cell>
          <cell r="M746" t="str">
            <v>יח'</v>
          </cell>
          <cell r="N746">
            <v>840.00000000000011</v>
          </cell>
        </row>
        <row r="747">
          <cell r="B747" t="str">
            <v xml:space="preserve"> Helicoil M4*1.5d -Free</v>
          </cell>
          <cell r="C747">
            <v>29304</v>
          </cell>
          <cell r="D747">
            <v>1</v>
          </cell>
          <cell r="E747" t="str">
            <v>קשיח</v>
          </cell>
          <cell r="F747" t="str">
            <v>01.0056</v>
          </cell>
          <cell r="G747">
            <v>44391</v>
          </cell>
          <cell r="H747" t="str">
            <v>01.0056</v>
          </cell>
          <cell r="I747" t="str">
            <v>לוונשטיין טכנולוגיות</v>
          </cell>
          <cell r="J747">
            <v>0.56000000000000005</v>
          </cell>
          <cell r="K747" t="str">
            <v>₪</v>
          </cell>
          <cell r="L747">
            <v>3000</v>
          </cell>
          <cell r="M747" t="str">
            <v>יח'</v>
          </cell>
          <cell r="N747">
            <v>1680.0000000000002</v>
          </cell>
        </row>
        <row r="748">
          <cell r="B748" t="str">
            <v xml:space="preserve"> Helicoil M4*1.5d -Free BOLHOFF</v>
          </cell>
          <cell r="C748">
            <v>29058</v>
          </cell>
          <cell r="D748">
            <v>1</v>
          </cell>
          <cell r="E748" t="str">
            <v>קשיח</v>
          </cell>
          <cell r="F748" t="str">
            <v>01.0056</v>
          </cell>
          <cell r="G748">
            <v>44360</v>
          </cell>
          <cell r="H748" t="str">
            <v>01.0056</v>
          </cell>
          <cell r="I748" t="str">
            <v>גין מהנדסים בע"מ</v>
          </cell>
          <cell r="J748">
            <v>0.49990000000000001</v>
          </cell>
          <cell r="K748" t="str">
            <v>₪</v>
          </cell>
          <cell r="L748">
            <v>3000</v>
          </cell>
          <cell r="M748" t="str">
            <v>יח'</v>
          </cell>
          <cell r="N748">
            <v>1499.7</v>
          </cell>
        </row>
        <row r="749">
          <cell r="B749" t="str">
            <v xml:space="preserve"> Helicoil M4*1.5d -Free</v>
          </cell>
          <cell r="C749">
            <v>28530</v>
          </cell>
          <cell r="D749">
            <v>1</v>
          </cell>
          <cell r="E749" t="str">
            <v>קשיח</v>
          </cell>
          <cell r="F749" t="str">
            <v>01.0056</v>
          </cell>
          <cell r="G749">
            <v>44291</v>
          </cell>
          <cell r="H749" t="str">
            <v>01.0056</v>
          </cell>
          <cell r="I749" t="str">
            <v>גין מהנדסים בע"מ</v>
          </cell>
          <cell r="J749">
            <v>0.5</v>
          </cell>
          <cell r="K749" t="str">
            <v>₪</v>
          </cell>
          <cell r="L749">
            <v>2200</v>
          </cell>
          <cell r="M749" t="str">
            <v>יח'</v>
          </cell>
          <cell r="N749">
            <v>1100</v>
          </cell>
        </row>
        <row r="750">
          <cell r="B750" t="str">
            <v xml:space="preserve"> Helicoil M4*1.5d -Free</v>
          </cell>
          <cell r="C750">
            <v>28381</v>
          </cell>
          <cell r="D750">
            <v>2</v>
          </cell>
          <cell r="E750" t="str">
            <v>קשיח</v>
          </cell>
          <cell r="F750" t="str">
            <v>01.0056</v>
          </cell>
          <cell r="G750">
            <v>44269</v>
          </cell>
          <cell r="H750" t="str">
            <v>01.0056</v>
          </cell>
          <cell r="I750" t="str">
            <v>לוונשטיין טכנולוגיות</v>
          </cell>
          <cell r="J750">
            <v>0.56599999999999995</v>
          </cell>
          <cell r="K750" t="str">
            <v>₪</v>
          </cell>
          <cell r="L750">
            <v>1500</v>
          </cell>
          <cell r="M750" t="str">
            <v>יח'</v>
          </cell>
          <cell r="N750">
            <v>848.99999999999989</v>
          </cell>
        </row>
        <row r="751">
          <cell r="B751" t="str">
            <v xml:space="preserve"> Helicoil M4*1.5d -Free</v>
          </cell>
          <cell r="C751">
            <v>28051</v>
          </cell>
          <cell r="D751">
            <v>4</v>
          </cell>
          <cell r="E751" t="str">
            <v>קשיח</v>
          </cell>
          <cell r="F751" t="str">
            <v>01.0056</v>
          </cell>
          <cell r="G751">
            <v>44224</v>
          </cell>
          <cell r="H751" t="str">
            <v>01.0056</v>
          </cell>
          <cell r="I751" t="str">
            <v>דר טכנולוגיות בע"מ</v>
          </cell>
          <cell r="J751">
            <v>0.46010000000000001</v>
          </cell>
          <cell r="K751" t="str">
            <v>₪</v>
          </cell>
          <cell r="L751">
            <v>1000</v>
          </cell>
          <cell r="M751" t="str">
            <v>יח'</v>
          </cell>
          <cell r="N751">
            <v>460.1</v>
          </cell>
        </row>
        <row r="752">
          <cell r="B752" t="str">
            <v xml:space="preserve"> Helicoil M4*1.5d -Free</v>
          </cell>
          <cell r="C752">
            <v>27860</v>
          </cell>
          <cell r="D752">
            <v>1</v>
          </cell>
          <cell r="E752" t="str">
            <v>קשיח</v>
          </cell>
          <cell r="F752" t="str">
            <v>01.0056</v>
          </cell>
          <cell r="G752">
            <v>44195</v>
          </cell>
          <cell r="H752" t="str">
            <v>01.0056</v>
          </cell>
          <cell r="I752" t="str">
            <v>דר טכנולוגיות בע"מ</v>
          </cell>
          <cell r="J752">
            <v>0.46</v>
          </cell>
          <cell r="K752" t="str">
            <v>₪</v>
          </cell>
          <cell r="L752">
            <v>2000</v>
          </cell>
          <cell r="M752" t="str">
            <v>יח'</v>
          </cell>
          <cell r="N752">
            <v>920</v>
          </cell>
        </row>
        <row r="753">
          <cell r="B753" t="str">
            <v xml:space="preserve"> Helicoil M4*1.5d -Free</v>
          </cell>
          <cell r="C753">
            <v>27339</v>
          </cell>
          <cell r="D753">
            <v>1</v>
          </cell>
          <cell r="E753" t="str">
            <v>קשיח</v>
          </cell>
          <cell r="F753" t="str">
            <v>01.0056</v>
          </cell>
          <cell r="G753">
            <v>44124</v>
          </cell>
          <cell r="H753" t="str">
            <v>01.0056</v>
          </cell>
          <cell r="I753" t="str">
            <v>גין מהנדסים בע"מ</v>
          </cell>
          <cell r="J753">
            <v>0.5</v>
          </cell>
          <cell r="K753" t="str">
            <v>₪</v>
          </cell>
          <cell r="L753">
            <v>1000</v>
          </cell>
          <cell r="M753" t="str">
            <v>יח'</v>
          </cell>
          <cell r="N753">
            <v>500</v>
          </cell>
        </row>
        <row r="754">
          <cell r="B754" t="str">
            <v xml:space="preserve"> Helicoil M4*1.5d -Free</v>
          </cell>
          <cell r="C754">
            <v>26786</v>
          </cell>
          <cell r="D754">
            <v>2</v>
          </cell>
          <cell r="E754" t="str">
            <v>קשיח</v>
          </cell>
          <cell r="F754" t="str">
            <v>01.0056</v>
          </cell>
          <cell r="G754">
            <v>44045</v>
          </cell>
          <cell r="H754" t="str">
            <v>01.0056</v>
          </cell>
          <cell r="I754" t="str">
            <v>דר טכנולוגיות בע"מ</v>
          </cell>
          <cell r="J754">
            <v>0.46</v>
          </cell>
          <cell r="K754" t="str">
            <v>₪</v>
          </cell>
          <cell r="L754">
            <v>1000</v>
          </cell>
          <cell r="M754" t="str">
            <v>יח'</v>
          </cell>
          <cell r="N754">
            <v>460</v>
          </cell>
        </row>
        <row r="755">
          <cell r="B755" t="str">
            <v xml:space="preserve"> Helicoil M4*1.5d -Free</v>
          </cell>
          <cell r="C755">
            <v>25773</v>
          </cell>
          <cell r="D755">
            <v>4</v>
          </cell>
          <cell r="E755" t="str">
            <v>קשיח</v>
          </cell>
          <cell r="F755" t="str">
            <v>01.0056</v>
          </cell>
          <cell r="G755">
            <v>43899</v>
          </cell>
          <cell r="H755" t="str">
            <v>01.0056</v>
          </cell>
          <cell r="I755" t="str">
            <v>לוונשטיין טכנולוגיות</v>
          </cell>
          <cell r="J755">
            <v>0.51</v>
          </cell>
          <cell r="K755" t="str">
            <v>₪</v>
          </cell>
          <cell r="L755">
            <v>1000</v>
          </cell>
          <cell r="M755" t="str">
            <v>יח'</v>
          </cell>
          <cell r="N755">
            <v>510</v>
          </cell>
        </row>
        <row r="756">
          <cell r="B756" t="str">
            <v xml:space="preserve"> Helicoil M4*1.5d -Free</v>
          </cell>
          <cell r="C756">
            <v>24391</v>
          </cell>
          <cell r="D756">
            <v>2</v>
          </cell>
          <cell r="E756" t="str">
            <v>קשיח</v>
          </cell>
          <cell r="F756" t="str">
            <v>01.0056</v>
          </cell>
          <cell r="G756">
            <v>43678</v>
          </cell>
          <cell r="H756" t="str">
            <v>01.0056</v>
          </cell>
          <cell r="I756" t="str">
            <v>דר טכנולוגיות בע"מ</v>
          </cell>
          <cell r="J756">
            <v>0.45</v>
          </cell>
          <cell r="K756" t="str">
            <v>₪</v>
          </cell>
          <cell r="L756">
            <v>1000</v>
          </cell>
          <cell r="M756" t="str">
            <v>יח'</v>
          </cell>
          <cell r="N756">
            <v>450</v>
          </cell>
        </row>
        <row r="757">
          <cell r="B757" t="str">
            <v xml:space="preserve"> Helicoil M4*2d - Free</v>
          </cell>
          <cell r="C757">
            <v>42980</v>
          </cell>
          <cell r="D757">
            <v>1</v>
          </cell>
          <cell r="E757" t="str">
            <v>קשיח</v>
          </cell>
          <cell r="F757" t="str">
            <v>01.0057</v>
          </cell>
          <cell r="G757">
            <v>45999</v>
          </cell>
          <cell r="H757" t="str">
            <v>01.0057</v>
          </cell>
          <cell r="I757" t="str">
            <v>דר טכנולוגיות בע"מ</v>
          </cell>
          <cell r="J757">
            <v>0.49980000000000002</v>
          </cell>
          <cell r="K757" t="str">
            <v>₪</v>
          </cell>
          <cell r="L757">
            <v>2000</v>
          </cell>
          <cell r="M757" t="str">
            <v>יח'</v>
          </cell>
          <cell r="N757">
            <v>999.6</v>
          </cell>
        </row>
        <row r="758">
          <cell r="B758" t="str">
            <v xml:space="preserve"> Helicoil M4*2d - Free</v>
          </cell>
          <cell r="C758">
            <v>42276</v>
          </cell>
          <cell r="D758">
            <v>2</v>
          </cell>
          <cell r="E758" t="str">
            <v>קשיח</v>
          </cell>
          <cell r="F758" t="str">
            <v>01.0057</v>
          </cell>
          <cell r="G758">
            <v>45938</v>
          </cell>
          <cell r="H758" t="str">
            <v>01.0057</v>
          </cell>
          <cell r="I758" t="str">
            <v>דר טכנולוגיות בע"מ</v>
          </cell>
          <cell r="J758">
            <v>0.5</v>
          </cell>
          <cell r="K758" t="str">
            <v>₪</v>
          </cell>
          <cell r="L758">
            <v>1000</v>
          </cell>
          <cell r="M758" t="str">
            <v>יח'</v>
          </cell>
          <cell r="N758">
            <v>500</v>
          </cell>
        </row>
        <row r="759">
          <cell r="B759" t="str">
            <v xml:space="preserve"> Helicoil M4*2d - Free</v>
          </cell>
          <cell r="C759">
            <v>41822</v>
          </cell>
          <cell r="D759">
            <v>1</v>
          </cell>
          <cell r="E759" t="str">
            <v>קשיח</v>
          </cell>
          <cell r="F759" t="str">
            <v>01.0057</v>
          </cell>
          <cell r="G759">
            <v>45886</v>
          </cell>
          <cell r="H759" t="str">
            <v>01.0057</v>
          </cell>
          <cell r="I759" t="str">
            <v>לוונשטיין טכנולוגיות בע"מ</v>
          </cell>
          <cell r="J759">
            <v>0.56999999999999995</v>
          </cell>
          <cell r="K759" t="str">
            <v>₪</v>
          </cell>
          <cell r="L759">
            <v>1300</v>
          </cell>
          <cell r="M759" t="str">
            <v>יח'</v>
          </cell>
          <cell r="N759">
            <v>740.99999999999989</v>
          </cell>
        </row>
        <row r="760">
          <cell r="B760" t="str">
            <v xml:space="preserve"> Helicoil M4*2d - Free</v>
          </cell>
          <cell r="C760">
            <v>41780</v>
          </cell>
          <cell r="D760">
            <v>1</v>
          </cell>
          <cell r="E760" t="str">
            <v>קשיח</v>
          </cell>
          <cell r="F760" t="str">
            <v>01.0057</v>
          </cell>
          <cell r="G760">
            <v>45881</v>
          </cell>
          <cell r="H760" t="str">
            <v>01.0057</v>
          </cell>
          <cell r="I760" t="str">
            <v>לוונשטיין טכנולוגיות בע"מ</v>
          </cell>
          <cell r="J760">
            <v>0.56999999999999995</v>
          </cell>
          <cell r="K760" t="str">
            <v>₪</v>
          </cell>
          <cell r="L760">
            <v>1300</v>
          </cell>
          <cell r="M760" t="str">
            <v>יח'</v>
          </cell>
          <cell r="N760">
            <v>740.99999999999989</v>
          </cell>
        </row>
        <row r="761">
          <cell r="B761" t="str">
            <v xml:space="preserve"> Helicoil M4*2d - Free</v>
          </cell>
          <cell r="C761">
            <v>41394</v>
          </cell>
          <cell r="D761">
            <v>1</v>
          </cell>
          <cell r="E761" t="str">
            <v>קשיח</v>
          </cell>
          <cell r="F761" t="str">
            <v>01.0057</v>
          </cell>
          <cell r="G761">
            <v>45844</v>
          </cell>
          <cell r="H761" t="str">
            <v>01.0057</v>
          </cell>
          <cell r="I761" t="str">
            <v>לוונשטיין טכנולוגיות בע"מ</v>
          </cell>
          <cell r="J761">
            <v>0.74</v>
          </cell>
          <cell r="K761" t="str">
            <v>₪</v>
          </cell>
          <cell r="L761">
            <v>1000</v>
          </cell>
          <cell r="M761" t="str">
            <v>יח'</v>
          </cell>
          <cell r="N761">
            <v>740</v>
          </cell>
        </row>
        <row r="762">
          <cell r="B762" t="str">
            <v xml:space="preserve"> Helicoil M4*2d - Free</v>
          </cell>
          <cell r="C762">
            <v>40078</v>
          </cell>
          <cell r="D762">
            <v>1</v>
          </cell>
          <cell r="E762" t="str">
            <v>קשיח</v>
          </cell>
          <cell r="F762" t="str">
            <v>01.0057</v>
          </cell>
          <cell r="G762">
            <v>45722</v>
          </cell>
          <cell r="H762" t="str">
            <v>01.0057</v>
          </cell>
          <cell r="I762" t="str">
            <v>לוונשטיין טכנולוגיות בע"מ</v>
          </cell>
          <cell r="J762">
            <v>0.57179999999999997</v>
          </cell>
          <cell r="K762" t="str">
            <v>₪</v>
          </cell>
          <cell r="M762" t="str">
            <v>יח'</v>
          </cell>
        </row>
        <row r="763">
          <cell r="B763" t="str">
            <v xml:space="preserve"> Helicoil M4*2d - Free</v>
          </cell>
          <cell r="C763">
            <v>40014</v>
          </cell>
          <cell r="D763">
            <v>1</v>
          </cell>
          <cell r="E763" t="str">
            <v>קשיח</v>
          </cell>
          <cell r="F763" t="str">
            <v>01.0057</v>
          </cell>
          <cell r="G763">
            <v>45718</v>
          </cell>
          <cell r="H763" t="str">
            <v>01.0057</v>
          </cell>
          <cell r="I763" t="str">
            <v>לוונשטיין טכנולוגיות בע"מ</v>
          </cell>
          <cell r="J763">
            <v>0.56999999999999995</v>
          </cell>
          <cell r="K763" t="str">
            <v>₪</v>
          </cell>
          <cell r="L763">
            <v>1300</v>
          </cell>
          <cell r="M763" t="str">
            <v>יח'</v>
          </cell>
          <cell r="N763">
            <v>740.99999999999989</v>
          </cell>
        </row>
        <row r="764">
          <cell r="B764" t="str">
            <v xml:space="preserve"> Helicoil M4*2d - Free</v>
          </cell>
          <cell r="C764">
            <v>38878</v>
          </cell>
          <cell r="D764">
            <v>1</v>
          </cell>
          <cell r="E764" t="str">
            <v>קשיח</v>
          </cell>
          <cell r="F764" t="str">
            <v>01.0057</v>
          </cell>
          <cell r="G764">
            <v>45616</v>
          </cell>
          <cell r="H764" t="str">
            <v>01.0057</v>
          </cell>
          <cell r="I764" t="str">
            <v>לוונשטיין טכנולוגיות בע"מ</v>
          </cell>
          <cell r="J764">
            <v>0.50160000000000005</v>
          </cell>
          <cell r="K764" t="str">
            <v>₪</v>
          </cell>
          <cell r="L764">
            <v>5200</v>
          </cell>
          <cell r="M764" t="str">
            <v>יח'</v>
          </cell>
          <cell r="N764">
            <v>2608.3200000000002</v>
          </cell>
        </row>
        <row r="765">
          <cell r="B765" t="str">
            <v xml:space="preserve"> Helicoil M4*2d - Free</v>
          </cell>
          <cell r="C765">
            <v>35081</v>
          </cell>
          <cell r="D765">
            <v>6</v>
          </cell>
          <cell r="E765" t="str">
            <v>קשיח</v>
          </cell>
          <cell r="F765" t="str">
            <v>01.0057</v>
          </cell>
          <cell r="G765">
            <v>45180</v>
          </cell>
          <cell r="H765" t="str">
            <v>01.0057</v>
          </cell>
          <cell r="I765" t="str">
            <v>לוונשטיין טכנולוגיות בע"מ</v>
          </cell>
          <cell r="J765">
            <v>0.50009999999999999</v>
          </cell>
          <cell r="K765" t="str">
            <v>₪</v>
          </cell>
          <cell r="L765">
            <v>2600</v>
          </cell>
          <cell r="M765" t="str">
            <v>יח'</v>
          </cell>
          <cell r="N765">
            <v>1300.26</v>
          </cell>
        </row>
        <row r="766">
          <cell r="B766" t="str">
            <v xml:space="preserve"> Helicoil M4*2d - Free</v>
          </cell>
          <cell r="C766">
            <v>33498</v>
          </cell>
          <cell r="D766">
            <v>6</v>
          </cell>
          <cell r="E766" t="str">
            <v>קשיח</v>
          </cell>
          <cell r="F766" t="str">
            <v>01.0057</v>
          </cell>
          <cell r="G766">
            <v>44986</v>
          </cell>
          <cell r="H766" t="str">
            <v>01.0057</v>
          </cell>
          <cell r="I766" t="str">
            <v>לוונשטיין טכנולוגיות בע"מ</v>
          </cell>
          <cell r="J766">
            <v>0.5</v>
          </cell>
          <cell r="K766" t="str">
            <v>₪</v>
          </cell>
          <cell r="L766">
            <v>1300</v>
          </cell>
          <cell r="M766" t="str">
            <v>יח'</v>
          </cell>
          <cell r="N766">
            <v>650</v>
          </cell>
        </row>
        <row r="767">
          <cell r="B767" t="str">
            <v xml:space="preserve"> Helicoil M4*2d - Free</v>
          </cell>
          <cell r="C767">
            <v>33012</v>
          </cell>
          <cell r="D767">
            <v>3</v>
          </cell>
          <cell r="E767" t="str">
            <v>קשיח</v>
          </cell>
          <cell r="F767" t="str">
            <v>01.0057</v>
          </cell>
          <cell r="G767">
            <v>44913</v>
          </cell>
          <cell r="H767" t="str">
            <v>01.0057</v>
          </cell>
          <cell r="I767" t="str">
            <v>לוונשטיין טכנולוגיות בע"מ</v>
          </cell>
          <cell r="J767">
            <v>650</v>
          </cell>
          <cell r="K767" t="str">
            <v>₪</v>
          </cell>
          <cell r="L767">
            <v>2</v>
          </cell>
          <cell r="M767" t="str">
            <v>יח'</v>
          </cell>
          <cell r="N767">
            <v>1300</v>
          </cell>
        </row>
        <row r="768">
          <cell r="B768" t="str">
            <v xml:space="preserve"> Helicoil M4*2d - Free</v>
          </cell>
          <cell r="C768">
            <v>32399</v>
          </cell>
          <cell r="D768">
            <v>2</v>
          </cell>
          <cell r="E768" t="str">
            <v>קשיח</v>
          </cell>
          <cell r="F768" t="str">
            <v>01.0057</v>
          </cell>
          <cell r="G768">
            <v>44816</v>
          </cell>
          <cell r="H768" t="str">
            <v>01.0057</v>
          </cell>
          <cell r="I768" t="str">
            <v>לוונשטיין טכנולוגיות בע"מ</v>
          </cell>
          <cell r="J768">
            <v>650</v>
          </cell>
          <cell r="K768" t="str">
            <v>₪</v>
          </cell>
          <cell r="L768">
            <v>2</v>
          </cell>
          <cell r="M768" t="str">
            <v>יח'</v>
          </cell>
          <cell r="N768">
            <v>1300</v>
          </cell>
        </row>
        <row r="769">
          <cell r="B769" t="str">
            <v xml:space="preserve"> Helicoil M4*2d - Free</v>
          </cell>
          <cell r="C769">
            <v>31099</v>
          </cell>
          <cell r="D769">
            <v>3</v>
          </cell>
          <cell r="E769" t="str">
            <v>קשיח</v>
          </cell>
          <cell r="F769" t="str">
            <v>01.0057</v>
          </cell>
          <cell r="G769">
            <v>44636</v>
          </cell>
          <cell r="H769" t="str">
            <v>01.0057</v>
          </cell>
          <cell r="I769" t="str">
            <v>לוונשטיין טכנולוגיות בע"מ</v>
          </cell>
          <cell r="J769">
            <v>650</v>
          </cell>
          <cell r="K769" t="str">
            <v>₪</v>
          </cell>
          <cell r="L769">
            <v>3</v>
          </cell>
          <cell r="M769" t="str">
            <v>יח'</v>
          </cell>
          <cell r="N769">
            <v>1950</v>
          </cell>
        </row>
        <row r="770">
          <cell r="B770" t="str">
            <v xml:space="preserve"> Helicoil M4*2d - Free</v>
          </cell>
          <cell r="C770">
            <v>30578</v>
          </cell>
          <cell r="D770">
            <v>3</v>
          </cell>
          <cell r="E770" t="str">
            <v>קשיח</v>
          </cell>
          <cell r="F770" t="str">
            <v>01.0057</v>
          </cell>
          <cell r="G770">
            <v>44560</v>
          </cell>
          <cell r="H770" t="str">
            <v>01.0057</v>
          </cell>
          <cell r="I770" t="str">
            <v>לוונשטיין טכנולוגיות בע"מ</v>
          </cell>
          <cell r="J770">
            <v>650</v>
          </cell>
          <cell r="K770" t="str">
            <v>₪</v>
          </cell>
          <cell r="L770">
            <v>2</v>
          </cell>
          <cell r="M770" t="str">
            <v>יח'</v>
          </cell>
          <cell r="N770">
            <v>1300</v>
          </cell>
        </row>
        <row r="771">
          <cell r="B771" t="str">
            <v xml:space="preserve"> Helicoil M4*2d - Free</v>
          </cell>
          <cell r="C771">
            <v>29833</v>
          </cell>
          <cell r="D771">
            <v>3</v>
          </cell>
          <cell r="E771" t="str">
            <v>קשיח</v>
          </cell>
          <cell r="F771" t="str">
            <v>01.0057</v>
          </cell>
          <cell r="G771">
            <v>44468</v>
          </cell>
          <cell r="H771" t="str">
            <v>01.0057</v>
          </cell>
          <cell r="I771" t="str">
            <v>לוונשטיין טכנולוגיות בע"מ</v>
          </cell>
          <cell r="J771">
            <v>0.50049999999999994</v>
          </cell>
          <cell r="K771" t="str">
            <v>₪</v>
          </cell>
          <cell r="L771">
            <v>1000</v>
          </cell>
          <cell r="M771" t="str">
            <v>יח'</v>
          </cell>
          <cell r="N771">
            <v>500.49999999999994</v>
          </cell>
        </row>
        <row r="772">
          <cell r="B772" t="str">
            <v xml:space="preserve"> Helicoil M4*2d - Free</v>
          </cell>
          <cell r="C772">
            <v>29304</v>
          </cell>
          <cell r="D772">
            <v>3</v>
          </cell>
          <cell r="E772" t="str">
            <v>קשיח</v>
          </cell>
          <cell r="F772" t="str">
            <v>01.0057</v>
          </cell>
          <cell r="G772">
            <v>44391</v>
          </cell>
          <cell r="H772" t="str">
            <v>01.0057</v>
          </cell>
          <cell r="I772" t="str">
            <v>לוונשטיין טכנולוגיות</v>
          </cell>
          <cell r="J772">
            <v>0.5</v>
          </cell>
          <cell r="K772" t="str">
            <v>₪</v>
          </cell>
          <cell r="L772">
            <v>1300</v>
          </cell>
          <cell r="M772" t="str">
            <v>יח'</v>
          </cell>
          <cell r="N772">
            <v>650</v>
          </cell>
        </row>
        <row r="773">
          <cell r="B773" t="str">
            <v xml:space="preserve"> Helicoil M4*2d - Free</v>
          </cell>
          <cell r="C773">
            <v>28381</v>
          </cell>
          <cell r="D773">
            <v>3</v>
          </cell>
          <cell r="E773" t="str">
            <v>קשיח</v>
          </cell>
          <cell r="F773" t="str">
            <v>01.0057</v>
          </cell>
          <cell r="G773">
            <v>44269</v>
          </cell>
          <cell r="H773" t="str">
            <v>01.0057</v>
          </cell>
          <cell r="I773" t="str">
            <v>לוונשטיין טכנולוגיות</v>
          </cell>
          <cell r="J773">
            <v>0.5</v>
          </cell>
          <cell r="K773" t="str">
            <v>₪</v>
          </cell>
          <cell r="L773">
            <v>1300</v>
          </cell>
          <cell r="M773" t="str">
            <v>יח'</v>
          </cell>
          <cell r="N773">
            <v>650</v>
          </cell>
        </row>
        <row r="774">
          <cell r="B774" t="str">
            <v xml:space="preserve"> Helicoil M4*2d - Free</v>
          </cell>
          <cell r="C774">
            <v>26786</v>
          </cell>
          <cell r="D774">
            <v>3</v>
          </cell>
          <cell r="E774" t="str">
            <v>קשיח</v>
          </cell>
          <cell r="F774" t="str">
            <v>01.0057</v>
          </cell>
          <cell r="G774">
            <v>44045</v>
          </cell>
          <cell r="H774" t="str">
            <v>01.0057</v>
          </cell>
          <cell r="I774" t="str">
            <v>דר טכנולוגיות בע"מ</v>
          </cell>
          <cell r="J774">
            <v>0.45</v>
          </cell>
          <cell r="K774" t="str">
            <v>₪</v>
          </cell>
          <cell r="L774">
            <v>1000</v>
          </cell>
          <cell r="M774" t="str">
            <v>יח'</v>
          </cell>
          <cell r="N774">
            <v>450</v>
          </cell>
        </row>
        <row r="775">
          <cell r="B775" t="str">
            <v xml:space="preserve"> Helicoil M4*2d - Free</v>
          </cell>
          <cell r="C775">
            <v>26266</v>
          </cell>
          <cell r="D775">
            <v>2</v>
          </cell>
          <cell r="E775" t="str">
            <v>קשיח</v>
          </cell>
          <cell r="F775" t="str">
            <v>01.0057</v>
          </cell>
          <cell r="G775">
            <v>43983</v>
          </cell>
          <cell r="H775" t="str">
            <v>01.0057</v>
          </cell>
          <cell r="I775" t="str">
            <v>לוונשטיין טכנולוגיות</v>
          </cell>
          <cell r="J775">
            <v>0.55000000000000004</v>
          </cell>
          <cell r="K775" t="str">
            <v>₪</v>
          </cell>
          <cell r="L775">
            <v>1000</v>
          </cell>
          <cell r="M775" t="str">
            <v>יח'</v>
          </cell>
          <cell r="N775">
            <v>550</v>
          </cell>
        </row>
        <row r="776">
          <cell r="B776" t="str">
            <v xml:space="preserve"> Helicoil M4*2d - Free</v>
          </cell>
          <cell r="C776">
            <v>23067</v>
          </cell>
          <cell r="D776">
            <v>2</v>
          </cell>
          <cell r="E776" t="str">
            <v>קשיח</v>
          </cell>
          <cell r="F776" t="str">
            <v>01.0057</v>
          </cell>
          <cell r="G776">
            <v>43524</v>
          </cell>
          <cell r="H776" t="str">
            <v>01.0057</v>
          </cell>
          <cell r="I776" t="str">
            <v>דר טכנולוגיות בע"מ</v>
          </cell>
          <cell r="J776">
            <v>0.55000000000000004</v>
          </cell>
          <cell r="K776" t="str">
            <v>₪</v>
          </cell>
          <cell r="L776">
            <v>1000</v>
          </cell>
          <cell r="M776" t="str">
            <v>יח'</v>
          </cell>
          <cell r="N776">
            <v>550</v>
          </cell>
        </row>
        <row r="777">
          <cell r="B777" t="str">
            <v xml:space="preserve"> Helicoil M4*2d - Free</v>
          </cell>
          <cell r="C777">
            <v>7781</v>
          </cell>
          <cell r="D777">
            <v>1</v>
          </cell>
          <cell r="E777" t="str">
            <v>קשיח</v>
          </cell>
          <cell r="F777" t="str">
            <v>01.0057</v>
          </cell>
          <cell r="G777">
            <v>42052</v>
          </cell>
          <cell r="H777" t="str">
            <v>01.0057</v>
          </cell>
          <cell r="I777" t="str">
            <v>דר טכנולוגיות בע"מ</v>
          </cell>
          <cell r="J777">
            <v>0</v>
          </cell>
          <cell r="K777" t="str">
            <v>₪</v>
          </cell>
          <cell r="M777" t="str">
            <v>יח'</v>
          </cell>
        </row>
        <row r="778">
          <cell r="B778" t="str">
            <v xml:space="preserve"> Helicoil M4*1.5d</v>
          </cell>
          <cell r="C778">
            <v>33684</v>
          </cell>
          <cell r="D778">
            <v>2</v>
          </cell>
          <cell r="E778" t="str">
            <v>קשיח</v>
          </cell>
          <cell r="F778" t="str">
            <v>01.0059</v>
          </cell>
          <cell r="G778">
            <v>45019</v>
          </cell>
          <cell r="H778" t="str">
            <v>01.0059</v>
          </cell>
          <cell r="I778" t="str">
            <v>גין מהנדסים בע"מ</v>
          </cell>
          <cell r="J778">
            <v>0.5</v>
          </cell>
          <cell r="K778" t="str">
            <v>₪</v>
          </cell>
          <cell r="L778">
            <v>2000</v>
          </cell>
          <cell r="M778" t="str">
            <v>יח'</v>
          </cell>
          <cell r="N778">
            <v>1000</v>
          </cell>
        </row>
        <row r="779">
          <cell r="B779" t="str">
            <v>הליקיול M4*1d</v>
          </cell>
          <cell r="C779">
            <v>1847</v>
          </cell>
          <cell r="D779">
            <v>1</v>
          </cell>
          <cell r="E779" t="str">
            <v>קשיח</v>
          </cell>
          <cell r="F779" t="str">
            <v>01.0059</v>
          </cell>
          <cell r="G779">
            <v>41305</v>
          </cell>
          <cell r="H779" t="str">
            <v>01.0059</v>
          </cell>
          <cell r="I779" t="str">
            <v>טמבור הפצות בע"מ</v>
          </cell>
          <cell r="J779">
            <v>0</v>
          </cell>
          <cell r="K779" t="str">
            <v>$</v>
          </cell>
          <cell r="M779" t="str">
            <v>יח'</v>
          </cell>
        </row>
        <row r="780">
          <cell r="B780" t="str">
            <v>הליקיול M4*1d</v>
          </cell>
          <cell r="C780">
            <v>693</v>
          </cell>
          <cell r="D780">
            <v>1</v>
          </cell>
          <cell r="E780" t="str">
            <v>קשיח</v>
          </cell>
          <cell r="F780" t="str">
            <v>01.0059</v>
          </cell>
          <cell r="G780">
            <v>41151</v>
          </cell>
          <cell r="H780" t="str">
            <v>01.0059</v>
          </cell>
          <cell r="I780" t="str">
            <v>לוונשטיין טכנולוגיות</v>
          </cell>
          <cell r="J780">
            <v>0.5</v>
          </cell>
          <cell r="K780" t="str">
            <v>₪</v>
          </cell>
          <cell r="L780">
            <v>1000</v>
          </cell>
          <cell r="M780" t="str">
            <v>יח'</v>
          </cell>
          <cell r="N780">
            <v>500</v>
          </cell>
        </row>
        <row r="781">
          <cell r="B781" t="str">
            <v xml:space="preserve"> Helicoil M5*2d - Free</v>
          </cell>
          <cell r="C781">
            <v>26266</v>
          </cell>
          <cell r="D781">
            <v>3</v>
          </cell>
          <cell r="E781" t="str">
            <v>קשיח</v>
          </cell>
          <cell r="F781" t="str">
            <v>01.0061</v>
          </cell>
          <cell r="G781">
            <v>43983</v>
          </cell>
          <cell r="H781" t="str">
            <v>01.0061</v>
          </cell>
          <cell r="I781" t="str">
            <v>לוונשטיין טכנולוגיות</v>
          </cell>
          <cell r="J781">
            <v>0.8</v>
          </cell>
          <cell r="K781" t="str">
            <v>₪</v>
          </cell>
          <cell r="L781">
            <v>1000</v>
          </cell>
          <cell r="M781" t="str">
            <v>יח'</v>
          </cell>
          <cell r="N781">
            <v>800</v>
          </cell>
        </row>
        <row r="782">
          <cell r="B782" t="str">
            <v>בגליל  M5*1.5d - Free</v>
          </cell>
          <cell r="C782">
            <v>42663</v>
          </cell>
          <cell r="D782">
            <v>2</v>
          </cell>
          <cell r="E782" t="str">
            <v>קשיח</v>
          </cell>
          <cell r="F782" t="str">
            <v>01.0062</v>
          </cell>
          <cell r="G782">
            <v>45972</v>
          </cell>
          <cell r="H782" t="str">
            <v>01.0062</v>
          </cell>
          <cell r="I782" t="str">
            <v>דר טכנולוגיות בע"מ</v>
          </cell>
          <cell r="J782">
            <v>0.48</v>
          </cell>
          <cell r="K782" t="str">
            <v>₪</v>
          </cell>
          <cell r="L782">
            <v>1000</v>
          </cell>
          <cell r="M782" t="str">
            <v>יח'</v>
          </cell>
          <cell r="N782">
            <v>480</v>
          </cell>
        </row>
        <row r="783">
          <cell r="B783" t="str">
            <v>בגליל  M5*1.5d - Free</v>
          </cell>
          <cell r="C783">
            <v>41310</v>
          </cell>
          <cell r="D783">
            <v>1</v>
          </cell>
          <cell r="E783" t="str">
            <v>קשיח</v>
          </cell>
          <cell r="F783" t="str">
            <v>01.0062</v>
          </cell>
          <cell r="G783">
            <v>45838</v>
          </cell>
          <cell r="H783" t="str">
            <v>01.0062</v>
          </cell>
          <cell r="I783" t="str">
            <v>דר טכנולוגיות בע"מ</v>
          </cell>
          <cell r="J783">
            <v>0.48</v>
          </cell>
          <cell r="K783" t="str">
            <v>₪</v>
          </cell>
          <cell r="L783">
            <v>1000</v>
          </cell>
          <cell r="M783" t="str">
            <v>יח'</v>
          </cell>
          <cell r="N783">
            <v>480</v>
          </cell>
        </row>
        <row r="784">
          <cell r="B784" t="str">
            <v>בגליל  M5*1.5d - Free</v>
          </cell>
          <cell r="C784">
            <v>40926</v>
          </cell>
          <cell r="D784">
            <v>1</v>
          </cell>
          <cell r="E784" t="str">
            <v>קשיח</v>
          </cell>
          <cell r="F784" t="str">
            <v>01.0062</v>
          </cell>
          <cell r="G784">
            <v>45799</v>
          </cell>
          <cell r="H784" t="str">
            <v>01.0062</v>
          </cell>
          <cell r="I784" t="str">
            <v>דר טכנולוגיות בע"מ</v>
          </cell>
          <cell r="J784">
            <v>0.48</v>
          </cell>
          <cell r="K784" t="str">
            <v>₪</v>
          </cell>
          <cell r="L784">
            <v>1000</v>
          </cell>
          <cell r="M784" t="str">
            <v>יח'</v>
          </cell>
          <cell r="N784">
            <v>480</v>
          </cell>
        </row>
        <row r="785">
          <cell r="B785" t="str">
            <v>בגליל  M5*1.5d - Free</v>
          </cell>
          <cell r="C785">
            <v>30100</v>
          </cell>
          <cell r="D785">
            <v>1</v>
          </cell>
          <cell r="E785" t="str">
            <v>קשיח</v>
          </cell>
          <cell r="F785" t="str">
            <v>01.0062</v>
          </cell>
          <cell r="G785">
            <v>44502</v>
          </cell>
          <cell r="H785" t="str">
            <v>01.0062</v>
          </cell>
          <cell r="I785" t="str">
            <v>לוונשטיין טכנולוגיות בע"מ</v>
          </cell>
          <cell r="J785">
            <v>0.55000000000000004</v>
          </cell>
          <cell r="K785" t="str">
            <v>₪</v>
          </cell>
          <cell r="L785">
            <v>1000</v>
          </cell>
          <cell r="M785" t="str">
            <v>יח'</v>
          </cell>
          <cell r="N785">
            <v>550</v>
          </cell>
        </row>
        <row r="786">
          <cell r="B786" t="str">
            <v>בגליל  M5*1.5d - Free</v>
          </cell>
          <cell r="C786">
            <v>27048</v>
          </cell>
          <cell r="D786">
            <v>1</v>
          </cell>
          <cell r="E786" t="str">
            <v>קשיח</v>
          </cell>
          <cell r="F786" t="str">
            <v>01.0062</v>
          </cell>
          <cell r="G786">
            <v>44081</v>
          </cell>
          <cell r="H786" t="str">
            <v>01.0062</v>
          </cell>
          <cell r="I786" t="str">
            <v>גין מהנדסים בע"מ</v>
          </cell>
          <cell r="J786">
            <v>0.5</v>
          </cell>
          <cell r="K786" t="str">
            <v>₪</v>
          </cell>
          <cell r="L786">
            <v>1000</v>
          </cell>
          <cell r="M786" t="str">
            <v>יח'</v>
          </cell>
          <cell r="N786">
            <v>500</v>
          </cell>
        </row>
        <row r="787">
          <cell r="B787" t="str">
            <v xml:space="preserve"> Helicoil M5*1.5d - Free</v>
          </cell>
          <cell r="C787">
            <v>25910</v>
          </cell>
          <cell r="D787">
            <v>1</v>
          </cell>
          <cell r="E787" t="str">
            <v>קשיח</v>
          </cell>
          <cell r="F787" t="str">
            <v>01.0062</v>
          </cell>
          <cell r="G787">
            <v>43915</v>
          </cell>
          <cell r="H787" t="str">
            <v>01.0062</v>
          </cell>
          <cell r="I787" t="str">
            <v>ברמיל בע"מ</v>
          </cell>
          <cell r="J787">
            <v>0.45</v>
          </cell>
          <cell r="K787" t="str">
            <v>₪</v>
          </cell>
          <cell r="L787">
            <v>1000</v>
          </cell>
          <cell r="M787" t="str">
            <v>יח'</v>
          </cell>
          <cell r="N787">
            <v>450</v>
          </cell>
        </row>
        <row r="788">
          <cell r="B788" t="str">
            <v xml:space="preserve"> Helicoil M5*1.5d - Free</v>
          </cell>
          <cell r="C788">
            <v>22930</v>
          </cell>
          <cell r="D788">
            <v>1</v>
          </cell>
          <cell r="E788" t="str">
            <v>קשיח</v>
          </cell>
          <cell r="F788" t="str">
            <v>01.0062</v>
          </cell>
          <cell r="G788">
            <v>43507</v>
          </cell>
          <cell r="H788" t="str">
            <v>01.0062</v>
          </cell>
          <cell r="I788" t="str">
            <v>גין מהנדסים בע"מ</v>
          </cell>
          <cell r="J788">
            <v>0.59</v>
          </cell>
          <cell r="K788" t="str">
            <v>₪</v>
          </cell>
          <cell r="L788">
            <v>1000</v>
          </cell>
          <cell r="M788" t="str">
            <v>יח'</v>
          </cell>
          <cell r="N788">
            <v>590</v>
          </cell>
        </row>
        <row r="789">
          <cell r="B789" t="str">
            <v xml:space="preserve"> Helicoil M5*1d - Lock</v>
          </cell>
          <cell r="C789">
            <v>37755</v>
          </cell>
          <cell r="D789">
            <v>1</v>
          </cell>
          <cell r="E789" t="str">
            <v>קשיח</v>
          </cell>
          <cell r="F789" t="str">
            <v>01.0063</v>
          </cell>
          <cell r="G789">
            <v>45489</v>
          </cell>
          <cell r="H789" t="str">
            <v>01.0063</v>
          </cell>
          <cell r="I789" t="str">
            <v>לוונשטיין טכנולוגיות בע"מ</v>
          </cell>
          <cell r="J789">
            <v>1.2</v>
          </cell>
          <cell r="K789" t="str">
            <v>₪</v>
          </cell>
          <cell r="L789">
            <v>1000</v>
          </cell>
          <cell r="M789" t="str">
            <v>יח'</v>
          </cell>
          <cell r="N789">
            <v>1200</v>
          </cell>
        </row>
        <row r="790">
          <cell r="B790" t="str">
            <v xml:space="preserve"> Helicoil M5*1d - Lock</v>
          </cell>
          <cell r="C790">
            <v>37119</v>
          </cell>
          <cell r="D790">
            <v>1</v>
          </cell>
          <cell r="E790" t="str">
            <v>קשיח</v>
          </cell>
          <cell r="F790" t="str">
            <v>01.0063</v>
          </cell>
          <cell r="G790">
            <v>45419</v>
          </cell>
          <cell r="H790" t="str">
            <v>01.0063</v>
          </cell>
          <cell r="I790" t="str">
            <v>לוונשטיין טכנולוגיות בע"מ</v>
          </cell>
          <cell r="J790">
            <v>1.2</v>
          </cell>
          <cell r="K790" t="str">
            <v>₪</v>
          </cell>
          <cell r="L790">
            <v>1000</v>
          </cell>
          <cell r="M790" t="str">
            <v>יח'</v>
          </cell>
          <cell r="N790">
            <v>1200</v>
          </cell>
        </row>
        <row r="791">
          <cell r="B791" t="str">
            <v xml:space="preserve"> Helicoil M5*1d - Lock</v>
          </cell>
          <cell r="C791">
            <v>37038</v>
          </cell>
          <cell r="D791">
            <v>1</v>
          </cell>
          <cell r="E791" t="str">
            <v>קשיח</v>
          </cell>
          <cell r="F791" t="str">
            <v>01.0063</v>
          </cell>
          <cell r="G791">
            <v>45412</v>
          </cell>
          <cell r="H791" t="str">
            <v>01.0063</v>
          </cell>
          <cell r="I791" t="str">
            <v>לוונשטיין טכנולוגיות בע"מ</v>
          </cell>
          <cell r="J791">
            <v>1.2</v>
          </cell>
          <cell r="K791" t="str">
            <v>₪</v>
          </cell>
          <cell r="L791">
            <v>1000</v>
          </cell>
          <cell r="M791" t="str">
            <v>יח'</v>
          </cell>
          <cell r="N791">
            <v>1200</v>
          </cell>
        </row>
        <row r="792">
          <cell r="B792" t="str">
            <v xml:space="preserve"> Helicoil M5*1d - Lock</v>
          </cell>
          <cell r="C792">
            <v>33031</v>
          </cell>
          <cell r="D792">
            <v>1</v>
          </cell>
          <cell r="E792" t="str">
            <v>קשיח</v>
          </cell>
          <cell r="F792" t="str">
            <v>01.0063</v>
          </cell>
          <cell r="G792">
            <v>44916</v>
          </cell>
          <cell r="H792" t="str">
            <v>01.0063</v>
          </cell>
          <cell r="I792" t="str">
            <v>לוונשטיין טכנולוגיות בע"מ</v>
          </cell>
          <cell r="J792">
            <v>1</v>
          </cell>
          <cell r="K792" t="str">
            <v>₪</v>
          </cell>
          <cell r="L792">
            <v>1000</v>
          </cell>
          <cell r="M792" t="str">
            <v>יח'</v>
          </cell>
          <cell r="N792">
            <v>1000</v>
          </cell>
        </row>
        <row r="793">
          <cell r="B793" t="str">
            <v xml:space="preserve"> Helicoil M5*1.5d - Lock</v>
          </cell>
          <cell r="C793">
            <v>42072</v>
          </cell>
          <cell r="D793">
            <v>1</v>
          </cell>
          <cell r="E793" t="str">
            <v>קשיח</v>
          </cell>
          <cell r="F793" t="str">
            <v>01.0064</v>
          </cell>
          <cell r="G793">
            <v>45908</v>
          </cell>
          <cell r="H793" t="str">
            <v>01.0064</v>
          </cell>
          <cell r="I793" t="str">
            <v>דר טכנולוגיות בע"מ</v>
          </cell>
          <cell r="J793">
            <v>0.5</v>
          </cell>
          <cell r="K793" t="str">
            <v>₪</v>
          </cell>
          <cell r="L793">
            <v>2000</v>
          </cell>
          <cell r="M793" t="str">
            <v>יח'</v>
          </cell>
          <cell r="N793">
            <v>1000</v>
          </cell>
        </row>
        <row r="794">
          <cell r="B794" t="str">
            <v xml:space="preserve"> Helicoil M5*1.5d - Lock</v>
          </cell>
          <cell r="C794">
            <v>41980</v>
          </cell>
          <cell r="D794">
            <v>1</v>
          </cell>
          <cell r="E794" t="str">
            <v>קשיח</v>
          </cell>
          <cell r="F794" t="str">
            <v>01.0064</v>
          </cell>
          <cell r="G794">
            <v>45900</v>
          </cell>
          <cell r="H794" t="str">
            <v>01.0064</v>
          </cell>
          <cell r="I794" t="str">
            <v>דר טכנולוגיות בע"מ</v>
          </cell>
          <cell r="J794">
            <v>0.5</v>
          </cell>
          <cell r="K794" t="str">
            <v>₪</v>
          </cell>
          <cell r="L794">
            <v>1000</v>
          </cell>
          <cell r="M794" t="str">
            <v>יח'</v>
          </cell>
          <cell r="N794">
            <v>500</v>
          </cell>
        </row>
        <row r="795">
          <cell r="B795" t="str">
            <v xml:space="preserve"> Helicoil M5*1.5d - Lock</v>
          </cell>
          <cell r="C795">
            <v>41554</v>
          </cell>
          <cell r="D795">
            <v>1</v>
          </cell>
          <cell r="E795" t="str">
            <v>קשיח</v>
          </cell>
          <cell r="F795" t="str">
            <v>01.0064</v>
          </cell>
          <cell r="G795">
            <v>45860</v>
          </cell>
          <cell r="H795" t="str">
            <v>01.0064</v>
          </cell>
          <cell r="I795" t="str">
            <v>דר טכנולוגיות בע"מ</v>
          </cell>
          <cell r="J795">
            <v>0.65</v>
          </cell>
          <cell r="K795" t="str">
            <v>₪</v>
          </cell>
          <cell r="L795">
            <v>100</v>
          </cell>
          <cell r="M795" t="str">
            <v>יח'</v>
          </cell>
          <cell r="N795">
            <v>65</v>
          </cell>
        </row>
        <row r="796">
          <cell r="B796" t="str">
            <v xml:space="preserve"> Helicoil M5*1.5d - Lock</v>
          </cell>
          <cell r="C796">
            <v>30957</v>
          </cell>
          <cell r="D796">
            <v>2</v>
          </cell>
          <cell r="E796" t="str">
            <v>קשיח</v>
          </cell>
          <cell r="F796" t="str">
            <v>01.0064</v>
          </cell>
          <cell r="G796">
            <v>44616</v>
          </cell>
          <cell r="H796" t="str">
            <v>01.0064</v>
          </cell>
          <cell r="I796" t="str">
            <v>דר טכנולוגיות בע"מ</v>
          </cell>
          <cell r="J796">
            <v>0.6</v>
          </cell>
          <cell r="K796" t="str">
            <v>₪</v>
          </cell>
          <cell r="L796">
            <v>200</v>
          </cell>
          <cell r="M796" t="str">
            <v>יח'</v>
          </cell>
          <cell r="N796">
            <v>120</v>
          </cell>
        </row>
        <row r="797">
          <cell r="B797" t="str">
            <v xml:space="preserve"> Helicoil M6*1d - Free</v>
          </cell>
          <cell r="C797">
            <v>39517</v>
          </cell>
          <cell r="D797">
            <v>1</v>
          </cell>
          <cell r="E797" t="str">
            <v>קשיח</v>
          </cell>
          <cell r="F797" t="str">
            <v>01.0066</v>
          </cell>
          <cell r="G797">
            <v>45676</v>
          </cell>
          <cell r="H797" t="str">
            <v>01.0066</v>
          </cell>
          <cell r="I797" t="str">
            <v>לוונשטיין טכנולוגיות בע"מ</v>
          </cell>
          <cell r="J797">
            <v>0.6</v>
          </cell>
          <cell r="K797" t="str">
            <v>₪</v>
          </cell>
          <cell r="L797">
            <v>2200</v>
          </cell>
          <cell r="M797" t="str">
            <v>יח'</v>
          </cell>
          <cell r="N797">
            <v>1320</v>
          </cell>
        </row>
        <row r="798">
          <cell r="B798" t="str">
            <v xml:space="preserve"> Helicoil M6*1d - Free</v>
          </cell>
          <cell r="C798">
            <v>37119</v>
          </cell>
          <cell r="D798">
            <v>2</v>
          </cell>
          <cell r="E798" t="str">
            <v>קשיח</v>
          </cell>
          <cell r="F798" t="str">
            <v>01.0066</v>
          </cell>
          <cell r="G798">
            <v>45419</v>
          </cell>
          <cell r="H798" t="str">
            <v>01.0066</v>
          </cell>
          <cell r="I798" t="str">
            <v>לוונשטיין טכנולוגיות בע"מ</v>
          </cell>
          <cell r="J798">
            <v>0.58279999999999998</v>
          </cell>
          <cell r="K798" t="str">
            <v>₪</v>
          </cell>
          <cell r="L798">
            <v>1100</v>
          </cell>
          <cell r="M798" t="str">
            <v>יח'</v>
          </cell>
          <cell r="N798">
            <v>641.07999999999993</v>
          </cell>
        </row>
        <row r="799">
          <cell r="B799" t="str">
            <v xml:space="preserve"> Helicoil M6*1d - Free</v>
          </cell>
          <cell r="C799">
            <v>34038</v>
          </cell>
          <cell r="D799">
            <v>3</v>
          </cell>
          <cell r="E799" t="str">
            <v>קשיח</v>
          </cell>
          <cell r="F799" t="str">
            <v>01.0066</v>
          </cell>
          <cell r="G799">
            <v>45070</v>
          </cell>
          <cell r="H799" t="str">
            <v>01.0066</v>
          </cell>
          <cell r="I799" t="str">
            <v>לוונשטיין טכנולוגיות בע"מ</v>
          </cell>
          <cell r="J799">
            <v>0.57999999999999996</v>
          </cell>
          <cell r="K799" t="str">
            <v>₪</v>
          </cell>
          <cell r="L799">
            <v>1100</v>
          </cell>
          <cell r="M799" t="str">
            <v>יח'</v>
          </cell>
          <cell r="N799">
            <v>638</v>
          </cell>
        </row>
        <row r="800">
          <cell r="B800" t="str">
            <v xml:space="preserve"> Helicoil M6*1d - Free</v>
          </cell>
          <cell r="C800">
            <v>30161</v>
          </cell>
          <cell r="D800">
            <v>1</v>
          </cell>
          <cell r="E800" t="str">
            <v>קשיח</v>
          </cell>
          <cell r="F800" t="str">
            <v>01.0066</v>
          </cell>
          <cell r="G800">
            <v>44510</v>
          </cell>
          <cell r="H800" t="str">
            <v>01.0066</v>
          </cell>
          <cell r="I800" t="str">
            <v>גין מהנדסים בע"מ</v>
          </cell>
          <cell r="J800">
            <v>0.6</v>
          </cell>
          <cell r="K800" t="str">
            <v>₪</v>
          </cell>
          <cell r="L800">
            <v>1000</v>
          </cell>
          <cell r="M800" t="str">
            <v>יח'</v>
          </cell>
          <cell r="N800">
            <v>600</v>
          </cell>
        </row>
        <row r="801">
          <cell r="B801" t="str">
            <v xml:space="preserve"> Helicoil M6*1d - Free</v>
          </cell>
          <cell r="C801">
            <v>30100</v>
          </cell>
          <cell r="D801">
            <v>3</v>
          </cell>
          <cell r="E801" t="str">
            <v>קשיח</v>
          </cell>
          <cell r="F801" t="str">
            <v>01.0066</v>
          </cell>
          <cell r="G801">
            <v>44502</v>
          </cell>
          <cell r="H801" t="str">
            <v>01.0066</v>
          </cell>
          <cell r="I801" t="str">
            <v>לוונשטיין טכנולוגיות בע"מ</v>
          </cell>
          <cell r="J801">
            <v>0.7</v>
          </cell>
          <cell r="K801" t="str">
            <v>₪</v>
          </cell>
          <cell r="L801">
            <v>500</v>
          </cell>
          <cell r="M801" t="str">
            <v>יח'</v>
          </cell>
          <cell r="N801">
            <v>350</v>
          </cell>
        </row>
        <row r="802">
          <cell r="B802" t="str">
            <v xml:space="preserve"> Helicoil M6*1d - Free</v>
          </cell>
          <cell r="C802">
            <v>27417</v>
          </cell>
          <cell r="D802">
            <v>2</v>
          </cell>
          <cell r="E802" t="str">
            <v>קשיח</v>
          </cell>
          <cell r="F802" t="str">
            <v>01.0066</v>
          </cell>
          <cell r="G802">
            <v>44138</v>
          </cell>
          <cell r="H802" t="str">
            <v>01.0066</v>
          </cell>
          <cell r="I802" t="str">
            <v>דר טכנולוגיות בע"מ</v>
          </cell>
          <cell r="J802">
            <v>0.45</v>
          </cell>
          <cell r="K802" t="str">
            <v>₪</v>
          </cell>
          <cell r="L802">
            <v>500</v>
          </cell>
          <cell r="M802" t="str">
            <v>יח'</v>
          </cell>
          <cell r="N802">
            <v>225</v>
          </cell>
        </row>
        <row r="803">
          <cell r="B803" t="str">
            <v xml:space="preserve"> Helicoil M6*1d - Free</v>
          </cell>
          <cell r="C803">
            <v>23797</v>
          </cell>
          <cell r="D803">
            <v>1</v>
          </cell>
          <cell r="E803" t="str">
            <v>קשיח</v>
          </cell>
          <cell r="F803" t="str">
            <v>01.0066</v>
          </cell>
          <cell r="G803">
            <v>43606</v>
          </cell>
          <cell r="H803" t="str">
            <v>01.0066</v>
          </cell>
          <cell r="I803" t="str">
            <v>ברמיל בע"מ</v>
          </cell>
          <cell r="J803">
            <v>0.42</v>
          </cell>
          <cell r="K803" t="str">
            <v>₪</v>
          </cell>
          <cell r="L803">
            <v>1000</v>
          </cell>
          <cell r="M803" t="str">
            <v>יח'</v>
          </cell>
          <cell r="N803">
            <v>420</v>
          </cell>
        </row>
        <row r="804">
          <cell r="B804" t="str">
            <v xml:space="preserve"> Helicoil M6*2d - Free</v>
          </cell>
          <cell r="C804">
            <v>41572</v>
          </cell>
          <cell r="D804">
            <v>1</v>
          </cell>
          <cell r="E804" t="str">
            <v>קשיח</v>
          </cell>
          <cell r="F804" t="str">
            <v>01.0068</v>
          </cell>
          <cell r="G804">
            <v>45862</v>
          </cell>
          <cell r="H804" t="str">
            <v>01.0068</v>
          </cell>
          <cell r="I804" t="str">
            <v>לוונשטיין טכנולוגיות בע"מ</v>
          </cell>
          <cell r="J804">
            <v>0.6</v>
          </cell>
          <cell r="K804" t="str">
            <v>₪</v>
          </cell>
          <cell r="L804">
            <v>500</v>
          </cell>
          <cell r="M804" t="str">
            <v>יח'</v>
          </cell>
          <cell r="N804">
            <v>300</v>
          </cell>
        </row>
        <row r="805">
          <cell r="B805" t="str">
            <v xml:space="preserve"> Helicoil M6*2d - Free</v>
          </cell>
          <cell r="C805">
            <v>39481</v>
          </cell>
          <cell r="D805">
            <v>1</v>
          </cell>
          <cell r="E805" t="str">
            <v>קשיח</v>
          </cell>
          <cell r="F805" t="str">
            <v>01.0068</v>
          </cell>
          <cell r="G805">
            <v>45670</v>
          </cell>
          <cell r="H805" t="str">
            <v>01.0068</v>
          </cell>
          <cell r="I805" t="str">
            <v>לוונשטיין טכנולוגיות בע"מ</v>
          </cell>
          <cell r="J805">
            <v>0.6</v>
          </cell>
          <cell r="K805" t="str">
            <v>₪</v>
          </cell>
          <cell r="L805">
            <v>1000</v>
          </cell>
          <cell r="M805" t="str">
            <v>יח'</v>
          </cell>
          <cell r="N805">
            <v>600</v>
          </cell>
        </row>
        <row r="806">
          <cell r="B806" t="str">
            <v xml:space="preserve"> Helicoil M6*2d - Free</v>
          </cell>
          <cell r="C806">
            <v>39366</v>
          </cell>
          <cell r="D806">
            <v>1</v>
          </cell>
          <cell r="E806" t="str">
            <v>קשיח</v>
          </cell>
          <cell r="F806" t="str">
            <v>01.0068</v>
          </cell>
          <cell r="G806">
            <v>45662</v>
          </cell>
          <cell r="H806" t="str">
            <v>01.0068</v>
          </cell>
          <cell r="I806" t="str">
            <v>לוונשטיין טכנולוגיות בע"מ</v>
          </cell>
          <cell r="J806">
            <v>0.6</v>
          </cell>
          <cell r="K806" t="str">
            <v>₪</v>
          </cell>
          <cell r="L806">
            <v>1000</v>
          </cell>
          <cell r="M806" t="str">
            <v>יח'</v>
          </cell>
          <cell r="N806">
            <v>600</v>
          </cell>
        </row>
        <row r="807">
          <cell r="B807" t="str">
            <v xml:space="preserve"> Helicoil M6*2d - Free</v>
          </cell>
          <cell r="C807">
            <v>34278</v>
          </cell>
          <cell r="D807">
            <v>1</v>
          </cell>
          <cell r="E807" t="str">
            <v>קשיח</v>
          </cell>
          <cell r="F807" t="str">
            <v>01.0068</v>
          </cell>
          <cell r="G807">
            <v>45099</v>
          </cell>
          <cell r="H807" t="str">
            <v>01.0068</v>
          </cell>
          <cell r="I807" t="str">
            <v>לוונשטיין טכנולוגיות בע"מ</v>
          </cell>
          <cell r="J807">
            <v>0.6</v>
          </cell>
          <cell r="K807" t="str">
            <v>₪</v>
          </cell>
          <cell r="L807">
            <v>2000</v>
          </cell>
          <cell r="M807" t="str">
            <v>יח'</v>
          </cell>
          <cell r="N807">
            <v>1200</v>
          </cell>
        </row>
        <row r="808">
          <cell r="B808" t="str">
            <v xml:space="preserve"> Helicoil M6*2d - Free</v>
          </cell>
          <cell r="C808">
            <v>33776</v>
          </cell>
          <cell r="D808">
            <v>1</v>
          </cell>
          <cell r="E808" t="str">
            <v>קשיח</v>
          </cell>
          <cell r="F808" t="str">
            <v>01.0068</v>
          </cell>
          <cell r="G808">
            <v>45036</v>
          </cell>
          <cell r="H808" t="str">
            <v>01.0068</v>
          </cell>
          <cell r="I808" t="str">
            <v>דר טכנולוגיות בע"מ</v>
          </cell>
          <cell r="J808">
            <v>0.6</v>
          </cell>
          <cell r="K808" t="str">
            <v>₪</v>
          </cell>
          <cell r="L808">
            <v>1000</v>
          </cell>
          <cell r="M808" t="str">
            <v>יח'</v>
          </cell>
          <cell r="N808">
            <v>600</v>
          </cell>
        </row>
        <row r="809">
          <cell r="B809" t="str">
            <v xml:space="preserve"> Helicoil M6*2d - Free</v>
          </cell>
          <cell r="C809">
            <v>32527</v>
          </cell>
          <cell r="D809">
            <v>1</v>
          </cell>
          <cell r="E809" t="str">
            <v>קשיח</v>
          </cell>
          <cell r="F809" t="str">
            <v>01.0068</v>
          </cell>
          <cell r="G809">
            <v>44845</v>
          </cell>
          <cell r="H809" t="str">
            <v>01.0068</v>
          </cell>
          <cell r="I809" t="str">
            <v>לוונשטיין טכנולוגיות בע"מ</v>
          </cell>
          <cell r="J809">
            <v>0.7</v>
          </cell>
          <cell r="K809" t="str">
            <v>₪</v>
          </cell>
          <cell r="L809">
            <v>1000</v>
          </cell>
          <cell r="M809" t="str">
            <v>יח'</v>
          </cell>
          <cell r="N809">
            <v>700</v>
          </cell>
        </row>
        <row r="810">
          <cell r="B810" t="str">
            <v xml:space="preserve"> Helicoil M6*2d - Free</v>
          </cell>
          <cell r="C810">
            <v>31797</v>
          </cell>
          <cell r="D810">
            <v>2</v>
          </cell>
          <cell r="E810" t="str">
            <v>קשיח</v>
          </cell>
          <cell r="F810" t="str">
            <v>01.0068</v>
          </cell>
          <cell r="G810">
            <v>44731</v>
          </cell>
          <cell r="H810" t="str">
            <v>01.0068</v>
          </cell>
          <cell r="I810" t="str">
            <v>דר טכנולוגיות בע"מ</v>
          </cell>
          <cell r="J810">
            <v>0.5998</v>
          </cell>
          <cell r="K810" t="str">
            <v>₪</v>
          </cell>
          <cell r="L810">
            <v>1450</v>
          </cell>
          <cell r="M810" t="str">
            <v>יח'</v>
          </cell>
          <cell r="N810">
            <v>869.71</v>
          </cell>
        </row>
        <row r="811">
          <cell r="B811" t="str">
            <v xml:space="preserve"> Helicoil M6*2d - Free</v>
          </cell>
          <cell r="C811">
            <v>31799</v>
          </cell>
          <cell r="D811">
            <v>1</v>
          </cell>
          <cell r="E811" t="str">
            <v>קשיח</v>
          </cell>
          <cell r="F811" t="str">
            <v>01.0068</v>
          </cell>
          <cell r="G811">
            <v>44731</v>
          </cell>
          <cell r="H811" t="str">
            <v>01.0068</v>
          </cell>
          <cell r="I811" t="str">
            <v>לוונשטיין טכנולוגיות בע"מ</v>
          </cell>
          <cell r="J811">
            <v>0.6</v>
          </cell>
          <cell r="K811" t="str">
            <v>₪</v>
          </cell>
          <cell r="L811">
            <v>1000</v>
          </cell>
          <cell r="M811" t="str">
            <v>יח'</v>
          </cell>
          <cell r="N811">
            <v>600</v>
          </cell>
        </row>
        <row r="812">
          <cell r="B812" t="str">
            <v xml:space="preserve"> Helicoil M6*2d - Free</v>
          </cell>
          <cell r="C812">
            <v>31777</v>
          </cell>
          <cell r="D812">
            <v>3</v>
          </cell>
          <cell r="E812" t="str">
            <v>קשיח</v>
          </cell>
          <cell r="F812" t="str">
            <v>01.0068</v>
          </cell>
          <cell r="G812">
            <v>44727</v>
          </cell>
          <cell r="H812" t="str">
            <v>01.0068</v>
          </cell>
          <cell r="I812" t="str">
            <v>דר טכנולוגיות בע"מ</v>
          </cell>
          <cell r="J812">
            <v>0.59989999999999999</v>
          </cell>
          <cell r="K812" t="str">
            <v>₪</v>
          </cell>
          <cell r="L812">
            <v>1000</v>
          </cell>
          <cell r="M812" t="str">
            <v>יח'</v>
          </cell>
          <cell r="N812">
            <v>599.9</v>
          </cell>
        </row>
        <row r="813">
          <cell r="B813" t="str">
            <v xml:space="preserve"> Helicoil M6*2d - Free</v>
          </cell>
          <cell r="C813">
            <v>31560</v>
          </cell>
          <cell r="D813">
            <v>2</v>
          </cell>
          <cell r="E813" t="str">
            <v>קשיח</v>
          </cell>
          <cell r="F813" t="str">
            <v>01.0068</v>
          </cell>
          <cell r="G813">
            <v>44699</v>
          </cell>
          <cell r="H813" t="str">
            <v>01.0068</v>
          </cell>
          <cell r="I813" t="str">
            <v>דר טכנולוגיות בע"מ</v>
          </cell>
          <cell r="J813">
            <v>0.6</v>
          </cell>
          <cell r="K813" t="str">
            <v>₪</v>
          </cell>
          <cell r="L813">
            <v>1000</v>
          </cell>
          <cell r="M813" t="str">
            <v>יח'</v>
          </cell>
          <cell r="N813">
            <v>600</v>
          </cell>
        </row>
        <row r="814">
          <cell r="B814" t="str">
            <v xml:space="preserve"> Helicoil M6*2d - Free</v>
          </cell>
          <cell r="C814">
            <v>31463</v>
          </cell>
          <cell r="D814">
            <v>4</v>
          </cell>
          <cell r="E814" t="str">
            <v>קשיח</v>
          </cell>
          <cell r="F814" t="str">
            <v>01.0068</v>
          </cell>
          <cell r="G814">
            <v>44689</v>
          </cell>
          <cell r="H814" t="str">
            <v>01.0068</v>
          </cell>
          <cell r="I814" t="str">
            <v>לוונשטיין טכנולוגיות בע"מ</v>
          </cell>
          <cell r="J814">
            <v>0.8</v>
          </cell>
          <cell r="K814" t="str">
            <v>₪</v>
          </cell>
          <cell r="L814">
            <v>500</v>
          </cell>
          <cell r="M814" t="str">
            <v>יח'</v>
          </cell>
          <cell r="N814">
            <v>400</v>
          </cell>
        </row>
        <row r="815">
          <cell r="B815" t="str">
            <v xml:space="preserve"> Helicoil M6*2d - Free</v>
          </cell>
          <cell r="C815">
            <v>28216</v>
          </cell>
          <cell r="D815">
            <v>1</v>
          </cell>
          <cell r="E815" t="str">
            <v>קשיח</v>
          </cell>
          <cell r="F815" t="str">
            <v>01.0068</v>
          </cell>
          <cell r="G815">
            <v>44244</v>
          </cell>
          <cell r="H815" t="str">
            <v>01.0068</v>
          </cell>
          <cell r="I815" t="str">
            <v>גין מהנדסים בע"מ</v>
          </cell>
          <cell r="J815">
            <v>1</v>
          </cell>
          <cell r="K815" t="str">
            <v>₪</v>
          </cell>
          <cell r="L815">
            <v>1000</v>
          </cell>
          <cell r="M815" t="str">
            <v>יח'</v>
          </cell>
          <cell r="N815">
            <v>1000</v>
          </cell>
        </row>
        <row r="816">
          <cell r="B816" t="str">
            <v xml:space="preserve"> Helicoil M6*2d - Free</v>
          </cell>
          <cell r="C816">
            <v>28068</v>
          </cell>
          <cell r="D816">
            <v>1</v>
          </cell>
          <cell r="E816" t="str">
            <v>קשיח</v>
          </cell>
          <cell r="F816" t="str">
            <v>01.0068</v>
          </cell>
          <cell r="G816">
            <v>44227</v>
          </cell>
          <cell r="H816" t="str">
            <v>01.0068</v>
          </cell>
          <cell r="I816" t="str">
            <v>דר טכנולוגיות בע"מ</v>
          </cell>
          <cell r="J816">
            <v>0.59989999999999999</v>
          </cell>
          <cell r="K816" t="str">
            <v>₪</v>
          </cell>
          <cell r="L816">
            <v>1000</v>
          </cell>
          <cell r="M816" t="str">
            <v>יח'</v>
          </cell>
          <cell r="N816">
            <v>599.9</v>
          </cell>
        </row>
        <row r="817">
          <cell r="B817" t="str">
            <v xml:space="preserve"> Helicoil M6*2d - Free</v>
          </cell>
          <cell r="C817">
            <v>26853</v>
          </cell>
          <cell r="D817">
            <v>1</v>
          </cell>
          <cell r="E817" t="str">
            <v>קשיח</v>
          </cell>
          <cell r="F817" t="str">
            <v>01.0068</v>
          </cell>
          <cell r="G817">
            <v>44052</v>
          </cell>
          <cell r="H817" t="str">
            <v>01.0068</v>
          </cell>
          <cell r="I817" t="str">
            <v>דר טכנולוגיות בע"מ</v>
          </cell>
          <cell r="J817">
            <v>0.5998</v>
          </cell>
          <cell r="K817" t="str">
            <v>₪</v>
          </cell>
          <cell r="L817">
            <v>500</v>
          </cell>
          <cell r="M817" t="str">
            <v>יח'</v>
          </cell>
          <cell r="N817">
            <v>299.89999999999998</v>
          </cell>
        </row>
        <row r="818">
          <cell r="B818" t="str">
            <v xml:space="preserve"> Helicoil M6*2d - Free</v>
          </cell>
          <cell r="C818">
            <v>26557</v>
          </cell>
          <cell r="D818">
            <v>1</v>
          </cell>
          <cell r="E818" t="str">
            <v>קשיח</v>
          </cell>
          <cell r="F818" t="str">
            <v>01.0068</v>
          </cell>
          <cell r="G818">
            <v>44014</v>
          </cell>
          <cell r="H818" t="str">
            <v>01.0068</v>
          </cell>
          <cell r="I818" t="str">
            <v>דר טכנולוגיות בע"מ</v>
          </cell>
          <cell r="J818">
            <v>0.6</v>
          </cell>
          <cell r="K818" t="str">
            <v>₪</v>
          </cell>
          <cell r="L818">
            <v>500</v>
          </cell>
          <cell r="M818" t="str">
            <v>יח'</v>
          </cell>
          <cell r="N818">
            <v>300</v>
          </cell>
        </row>
        <row r="819">
          <cell r="B819" t="str">
            <v xml:space="preserve"> Helicoil M6*2d - Free</v>
          </cell>
          <cell r="C819">
            <v>25463</v>
          </cell>
          <cell r="D819">
            <v>1</v>
          </cell>
          <cell r="E819" t="str">
            <v>קשיח</v>
          </cell>
          <cell r="F819" t="str">
            <v>01.0068</v>
          </cell>
          <cell r="G819">
            <v>43846</v>
          </cell>
          <cell r="H819" t="str">
            <v>01.0068</v>
          </cell>
          <cell r="I819" t="str">
            <v>ברמיל בע"מ</v>
          </cell>
          <cell r="J819">
            <v>0.45</v>
          </cell>
          <cell r="K819" t="str">
            <v>₪</v>
          </cell>
          <cell r="L819">
            <v>1000</v>
          </cell>
          <cell r="M819" t="str">
            <v>יח'</v>
          </cell>
          <cell r="N819">
            <v>450</v>
          </cell>
        </row>
        <row r="820">
          <cell r="B820" t="str">
            <v xml:space="preserve"> Helicoil M6*2d - Free</v>
          </cell>
          <cell r="C820">
            <v>24999</v>
          </cell>
          <cell r="D820">
            <v>1</v>
          </cell>
          <cell r="E820" t="str">
            <v>קשיח</v>
          </cell>
          <cell r="F820" t="str">
            <v>01.0068</v>
          </cell>
          <cell r="G820">
            <v>43776</v>
          </cell>
          <cell r="H820" t="str">
            <v>01.0068</v>
          </cell>
          <cell r="I820" t="str">
            <v>דר טכנולוגיות בע"מ</v>
          </cell>
          <cell r="J820">
            <v>0.60009999999999997</v>
          </cell>
          <cell r="K820" t="str">
            <v>₪</v>
          </cell>
          <cell r="L820">
            <v>1000</v>
          </cell>
          <cell r="M820" t="str">
            <v>יח'</v>
          </cell>
          <cell r="N820">
            <v>600.1</v>
          </cell>
        </row>
        <row r="821">
          <cell r="B821" t="str">
            <v xml:space="preserve"> Helicoil M6*2d - Free</v>
          </cell>
          <cell r="C821">
            <v>24425</v>
          </cell>
          <cell r="D821">
            <v>1</v>
          </cell>
          <cell r="E821" t="str">
            <v>קשיח</v>
          </cell>
          <cell r="F821" t="str">
            <v>01.0068</v>
          </cell>
          <cell r="G821">
            <v>43684</v>
          </cell>
          <cell r="H821" t="str">
            <v>01.0068</v>
          </cell>
          <cell r="I821" t="str">
            <v>דר טכנולוגיות בע"מ</v>
          </cell>
          <cell r="J821">
            <v>0.59989999999999999</v>
          </cell>
          <cell r="K821" t="str">
            <v>₪</v>
          </cell>
          <cell r="L821">
            <v>1000</v>
          </cell>
          <cell r="M821" t="str">
            <v>יח'</v>
          </cell>
          <cell r="N821">
            <v>599.9</v>
          </cell>
        </row>
        <row r="822">
          <cell r="B822" t="str">
            <v xml:space="preserve"> Helicoil M6*2d - Free</v>
          </cell>
          <cell r="C822">
            <v>24391</v>
          </cell>
          <cell r="D822">
            <v>3</v>
          </cell>
          <cell r="E822" t="str">
            <v>קשיח</v>
          </cell>
          <cell r="F822" t="str">
            <v>01.0068</v>
          </cell>
          <cell r="G822">
            <v>43678</v>
          </cell>
          <cell r="H822" t="str">
            <v>01.0068</v>
          </cell>
          <cell r="I822" t="str">
            <v>דר טכנולוגיות בע"מ</v>
          </cell>
          <cell r="J822">
            <v>0.6</v>
          </cell>
          <cell r="K822" t="str">
            <v>₪</v>
          </cell>
          <cell r="L822">
            <v>500</v>
          </cell>
          <cell r="M822" t="str">
            <v>יח'</v>
          </cell>
          <cell r="N822">
            <v>300</v>
          </cell>
        </row>
        <row r="823">
          <cell r="B823" t="str">
            <v xml:space="preserve"> Helicoil M6*2d - Free</v>
          </cell>
          <cell r="C823">
            <v>24300</v>
          </cell>
          <cell r="D823">
            <v>2</v>
          </cell>
          <cell r="E823" t="str">
            <v>קשיח</v>
          </cell>
          <cell r="F823" t="str">
            <v>01.0068</v>
          </cell>
          <cell r="G823">
            <v>43667</v>
          </cell>
          <cell r="H823" t="str">
            <v>01.0068</v>
          </cell>
          <cell r="I823" t="str">
            <v>דר טכנולוגיות בע"מ</v>
          </cell>
          <cell r="J823">
            <v>0.6</v>
          </cell>
          <cell r="K823" t="str">
            <v>₪</v>
          </cell>
          <cell r="L823">
            <v>500</v>
          </cell>
          <cell r="M823" t="str">
            <v>יח'</v>
          </cell>
          <cell r="N823">
            <v>300</v>
          </cell>
        </row>
        <row r="824">
          <cell r="B824" t="str">
            <v xml:space="preserve"> Helicoil M6*2d - Free</v>
          </cell>
          <cell r="C824">
            <v>23419</v>
          </cell>
          <cell r="D824">
            <v>1</v>
          </cell>
          <cell r="E824" t="str">
            <v>קשיח</v>
          </cell>
          <cell r="F824" t="str">
            <v>01.0068</v>
          </cell>
          <cell r="G824">
            <v>43559</v>
          </cell>
          <cell r="H824" t="str">
            <v>01.0068</v>
          </cell>
          <cell r="I824" t="str">
            <v>ברמיל בע"מ</v>
          </cell>
          <cell r="J824">
            <v>0.45</v>
          </cell>
          <cell r="K824" t="str">
            <v>₪</v>
          </cell>
          <cell r="L824">
            <v>1000</v>
          </cell>
          <cell r="M824" t="str">
            <v>יח'</v>
          </cell>
          <cell r="N824">
            <v>450</v>
          </cell>
        </row>
        <row r="825">
          <cell r="B825" t="str">
            <v>אינסרט M6*2d</v>
          </cell>
          <cell r="C825">
            <v>1847</v>
          </cell>
          <cell r="D825">
            <v>3</v>
          </cell>
          <cell r="E825" t="str">
            <v>קשיח</v>
          </cell>
          <cell r="F825" t="str">
            <v>01.0068</v>
          </cell>
          <cell r="G825">
            <v>41305</v>
          </cell>
          <cell r="H825" t="str">
            <v>01.0068</v>
          </cell>
          <cell r="I825" t="str">
            <v>טמבור הפצות בע"מ</v>
          </cell>
          <cell r="J825">
            <v>0</v>
          </cell>
          <cell r="K825" t="str">
            <v>$</v>
          </cell>
          <cell r="M825" t="str">
            <v>יח'</v>
          </cell>
        </row>
        <row r="826">
          <cell r="B826" t="str">
            <v>אינסרט M6*2d גליל 550 יח</v>
          </cell>
          <cell r="C826">
            <v>1521</v>
          </cell>
          <cell r="D826">
            <v>1</v>
          </cell>
          <cell r="E826" t="str">
            <v>קשיח</v>
          </cell>
          <cell r="F826" t="str">
            <v>01.0068</v>
          </cell>
          <cell r="G826">
            <v>41262</v>
          </cell>
          <cell r="H826" t="str">
            <v>01.0068</v>
          </cell>
          <cell r="I826" t="str">
            <v>לוונשטיין טכנולוגיות</v>
          </cell>
          <cell r="J826">
            <v>520</v>
          </cell>
          <cell r="K826" t="str">
            <v>₪</v>
          </cell>
          <cell r="L826">
            <v>1</v>
          </cell>
          <cell r="M826" t="str">
            <v>יח'</v>
          </cell>
          <cell r="N826">
            <v>520</v>
          </cell>
        </row>
        <row r="827">
          <cell r="B827" t="str">
            <v>אינסרט M6*2d תפזורת</v>
          </cell>
          <cell r="C827">
            <v>1521</v>
          </cell>
          <cell r="D827">
            <v>2</v>
          </cell>
          <cell r="E827" t="str">
            <v>קשיח</v>
          </cell>
          <cell r="F827" t="str">
            <v>01.0068</v>
          </cell>
          <cell r="G827">
            <v>41262</v>
          </cell>
          <cell r="H827" t="str">
            <v>01.0068</v>
          </cell>
          <cell r="I827" t="str">
            <v>לוונשטיין טכנולוגיות</v>
          </cell>
          <cell r="J827">
            <v>0.94</v>
          </cell>
          <cell r="K827" t="str">
            <v>₪</v>
          </cell>
          <cell r="L827">
            <v>450</v>
          </cell>
          <cell r="M827" t="str">
            <v>יח'</v>
          </cell>
          <cell r="N827">
            <v>423</v>
          </cell>
        </row>
        <row r="828">
          <cell r="B828" t="str">
            <v>אינסרט M6*2d</v>
          </cell>
          <cell r="C828">
            <v>1407</v>
          </cell>
          <cell r="D828">
            <v>3</v>
          </cell>
          <cell r="E828" t="str">
            <v>קשיח</v>
          </cell>
          <cell r="F828" t="str">
            <v>01.0068</v>
          </cell>
          <cell r="G828">
            <v>41252</v>
          </cell>
          <cell r="H828" t="str">
            <v>01.0068</v>
          </cell>
          <cell r="I828" t="str">
            <v>לוונשטיין טכנולוגיות</v>
          </cell>
          <cell r="J828">
            <v>0.95</v>
          </cell>
          <cell r="K828" t="str">
            <v>₪</v>
          </cell>
          <cell r="L828">
            <v>1100</v>
          </cell>
          <cell r="M828" t="str">
            <v>יח'</v>
          </cell>
          <cell r="N828">
            <v>1045</v>
          </cell>
        </row>
        <row r="829">
          <cell r="B829" t="str">
            <v>אינסרט M6*2d</v>
          </cell>
          <cell r="C829">
            <v>1206</v>
          </cell>
          <cell r="D829">
            <v>1</v>
          </cell>
          <cell r="E829" t="str">
            <v>קשיח</v>
          </cell>
          <cell r="F829" t="str">
            <v>01.0068</v>
          </cell>
          <cell r="G829">
            <v>41226</v>
          </cell>
          <cell r="H829" t="str">
            <v>01.0068</v>
          </cell>
          <cell r="I829" t="str">
            <v>מלאי מקומי בע"מ</v>
          </cell>
          <cell r="J829">
            <v>0.68</v>
          </cell>
          <cell r="K829" t="str">
            <v>₪</v>
          </cell>
          <cell r="L829">
            <v>500</v>
          </cell>
          <cell r="M829" t="str">
            <v>יח'</v>
          </cell>
          <cell r="N829">
            <v>340</v>
          </cell>
        </row>
        <row r="830">
          <cell r="B830" t="str">
            <v>אינסרט M6*2d</v>
          </cell>
          <cell r="C830">
            <v>692</v>
          </cell>
          <cell r="D830">
            <v>1</v>
          </cell>
          <cell r="E830" t="str">
            <v>קשיח</v>
          </cell>
          <cell r="F830" t="str">
            <v>01.0068</v>
          </cell>
          <cell r="G830">
            <v>41151</v>
          </cell>
          <cell r="H830" t="str">
            <v>01.0068</v>
          </cell>
          <cell r="I830" t="str">
            <v>מלאי מקומי בע"מ</v>
          </cell>
          <cell r="J830">
            <v>0.68</v>
          </cell>
          <cell r="K830" t="str">
            <v>₪</v>
          </cell>
          <cell r="L830">
            <v>1000</v>
          </cell>
          <cell r="M830" t="str">
            <v>יח'</v>
          </cell>
          <cell r="N830">
            <v>680</v>
          </cell>
        </row>
        <row r="831">
          <cell r="B831" t="str">
            <v>אינסרט M6*2d</v>
          </cell>
          <cell r="C831">
            <v>601</v>
          </cell>
          <cell r="D831">
            <v>1</v>
          </cell>
          <cell r="E831" t="str">
            <v>קשיח</v>
          </cell>
          <cell r="F831" t="str">
            <v>01.0068</v>
          </cell>
          <cell r="G831">
            <v>41142</v>
          </cell>
          <cell r="H831" t="str">
            <v>01.0068</v>
          </cell>
          <cell r="I831" t="str">
            <v>מלאי מקומי בע"מ</v>
          </cell>
          <cell r="J831">
            <v>0.68</v>
          </cell>
          <cell r="K831" t="str">
            <v>₪</v>
          </cell>
          <cell r="L831">
            <v>1500</v>
          </cell>
          <cell r="M831" t="str">
            <v>יח'</v>
          </cell>
          <cell r="N831">
            <v>1020.0000000000001</v>
          </cell>
        </row>
        <row r="832">
          <cell r="B832" t="str">
            <v>אינסרט M6*2d</v>
          </cell>
          <cell r="C832">
            <v>566</v>
          </cell>
          <cell r="D832">
            <v>1</v>
          </cell>
          <cell r="E832" t="str">
            <v>קשיח</v>
          </cell>
          <cell r="F832" t="str">
            <v>01.0068</v>
          </cell>
          <cell r="G832">
            <v>41137</v>
          </cell>
          <cell r="H832" t="str">
            <v>01.0068</v>
          </cell>
          <cell r="I832" t="str">
            <v>מלאי מקומי בע"מ</v>
          </cell>
          <cell r="J832">
            <v>0.68</v>
          </cell>
          <cell r="K832" t="str">
            <v>₪</v>
          </cell>
          <cell r="L832">
            <v>1000</v>
          </cell>
          <cell r="M832" t="str">
            <v>יח'</v>
          </cell>
          <cell r="N832">
            <v>680</v>
          </cell>
        </row>
        <row r="833">
          <cell r="B833" t="str">
            <v xml:space="preserve"> Helicoil M6*1d - Lock</v>
          </cell>
          <cell r="C833">
            <v>28612</v>
          </cell>
          <cell r="D833">
            <v>1</v>
          </cell>
          <cell r="E833" t="str">
            <v>קשיח</v>
          </cell>
          <cell r="F833" t="str">
            <v>01.0069</v>
          </cell>
          <cell r="G833">
            <v>44299</v>
          </cell>
          <cell r="H833" t="str">
            <v>01.0069</v>
          </cell>
          <cell r="I833" t="str">
            <v>דר טכנולוגיות בע"מ</v>
          </cell>
          <cell r="J833">
            <v>0.5</v>
          </cell>
          <cell r="K833" t="str">
            <v>₪</v>
          </cell>
          <cell r="L833">
            <v>500</v>
          </cell>
          <cell r="M833" t="str">
            <v>יח'</v>
          </cell>
          <cell r="N833">
            <v>250</v>
          </cell>
        </row>
        <row r="834">
          <cell r="B834" t="str">
            <v xml:space="preserve"> Helicoil M6*1.5d - Lock</v>
          </cell>
          <cell r="C834">
            <v>32959</v>
          </cell>
          <cell r="D834">
            <v>1</v>
          </cell>
          <cell r="E834" t="str">
            <v>קשיח</v>
          </cell>
          <cell r="F834" t="str">
            <v>01.0070</v>
          </cell>
          <cell r="G834">
            <v>44903</v>
          </cell>
          <cell r="H834" t="str">
            <v>01.0070</v>
          </cell>
          <cell r="I834" t="str">
            <v>לוונשטיין טכנולוגיות בע"מ</v>
          </cell>
          <cell r="J834">
            <v>0.85</v>
          </cell>
          <cell r="K834" t="str">
            <v>₪</v>
          </cell>
          <cell r="L834">
            <v>1000</v>
          </cell>
          <cell r="M834" t="str">
            <v>יח'</v>
          </cell>
          <cell r="N834">
            <v>850</v>
          </cell>
        </row>
        <row r="835">
          <cell r="B835" t="str">
            <v xml:space="preserve"> Helicoil M6*1.5d - Lock</v>
          </cell>
          <cell r="C835">
            <v>30702</v>
          </cell>
          <cell r="D835">
            <v>1</v>
          </cell>
          <cell r="E835" t="str">
            <v>קשיח</v>
          </cell>
          <cell r="F835" t="str">
            <v>01.0070</v>
          </cell>
          <cell r="G835">
            <v>44580</v>
          </cell>
          <cell r="H835" t="str">
            <v>01.0070</v>
          </cell>
          <cell r="I835" t="str">
            <v>לוונשטיין טכנולוגיות בע"מ</v>
          </cell>
          <cell r="J835">
            <v>0.85</v>
          </cell>
          <cell r="K835" t="str">
            <v>₪</v>
          </cell>
          <cell r="L835">
            <v>1000</v>
          </cell>
          <cell r="M835" t="str">
            <v>יח'</v>
          </cell>
          <cell r="N835">
            <v>850</v>
          </cell>
        </row>
        <row r="836">
          <cell r="B836" t="str">
            <v xml:space="preserve"> Helicoil M6*1.5d - Lock</v>
          </cell>
          <cell r="C836">
            <v>28626</v>
          </cell>
          <cell r="D836">
            <v>1</v>
          </cell>
          <cell r="E836" t="str">
            <v>קשיח</v>
          </cell>
          <cell r="F836" t="str">
            <v>01.0070</v>
          </cell>
          <cell r="G836">
            <v>44304</v>
          </cell>
          <cell r="H836" t="str">
            <v>01.0070</v>
          </cell>
          <cell r="I836" t="str">
            <v>דר טכנולוגיות בע"מ</v>
          </cell>
          <cell r="J836">
            <v>0.5</v>
          </cell>
          <cell r="K836" t="str">
            <v>₪</v>
          </cell>
          <cell r="L836">
            <v>500</v>
          </cell>
          <cell r="M836" t="str">
            <v>יח'</v>
          </cell>
          <cell r="N836">
            <v>250</v>
          </cell>
        </row>
        <row r="837">
          <cell r="B837" t="str">
            <v xml:space="preserve"> Helicoil M20*1.5*1d - Free DIN8140</v>
          </cell>
          <cell r="C837">
            <v>22811</v>
          </cell>
          <cell r="D837">
            <v>1</v>
          </cell>
          <cell r="E837" t="str">
            <v>קשיח</v>
          </cell>
          <cell r="F837" t="str">
            <v>01.0072</v>
          </cell>
          <cell r="G837">
            <v>43501</v>
          </cell>
          <cell r="H837" t="str">
            <v>01.0072</v>
          </cell>
          <cell r="I837" t="str">
            <v>גין מהנדסים בע"מ</v>
          </cell>
          <cell r="J837">
            <v>19.5</v>
          </cell>
          <cell r="K837" t="str">
            <v>₪</v>
          </cell>
          <cell r="L837">
            <v>180</v>
          </cell>
          <cell r="M837" t="str">
            <v>יח'</v>
          </cell>
          <cell r="N837">
            <v>3510</v>
          </cell>
        </row>
        <row r="838">
          <cell r="B838" t="str">
            <v xml:space="preserve"> Helicoil M20*1.5*1d - Free</v>
          </cell>
          <cell r="C838">
            <v>3125</v>
          </cell>
          <cell r="D838">
            <v>1</v>
          </cell>
          <cell r="E838" t="str">
            <v>קשיח</v>
          </cell>
          <cell r="F838" t="str">
            <v>01.0072</v>
          </cell>
          <cell r="G838">
            <v>41473</v>
          </cell>
          <cell r="H838" t="str">
            <v>01.0072</v>
          </cell>
          <cell r="I838" t="str">
            <v>לוונשטיין טכנולוגיות</v>
          </cell>
          <cell r="J838">
            <v>4.4000000000000004</v>
          </cell>
          <cell r="K838" t="str">
            <v>₪</v>
          </cell>
          <cell r="L838">
            <v>100</v>
          </cell>
          <cell r="M838" t="str">
            <v>יח'</v>
          </cell>
          <cell r="N838">
            <v>440.00000000000006</v>
          </cell>
        </row>
        <row r="839">
          <cell r="B839" t="str">
            <v xml:space="preserve"> Helicoil M20*1.5*1d - Free</v>
          </cell>
          <cell r="C839">
            <v>2771</v>
          </cell>
          <cell r="D839">
            <v>1</v>
          </cell>
          <cell r="E839" t="str">
            <v>קשיח</v>
          </cell>
          <cell r="F839" t="str">
            <v>01.0072</v>
          </cell>
          <cell r="G839">
            <v>41420</v>
          </cell>
          <cell r="H839" t="str">
            <v>01.0072</v>
          </cell>
          <cell r="I839" t="str">
            <v>מלאי מקומי בע"מ</v>
          </cell>
          <cell r="J839">
            <v>5.8998999999999997</v>
          </cell>
          <cell r="K839" t="str">
            <v>₪</v>
          </cell>
          <cell r="M839" t="str">
            <v>יח'</v>
          </cell>
        </row>
        <row r="840">
          <cell r="B840" t="str">
            <v xml:space="preserve"> Helicoil M8*1.25*1d - Free</v>
          </cell>
          <cell r="C840">
            <v>36234</v>
          </cell>
          <cell r="D840">
            <v>1</v>
          </cell>
          <cell r="E840" t="str">
            <v>קשיח</v>
          </cell>
          <cell r="F840" t="str">
            <v>01.0073</v>
          </cell>
          <cell r="G840">
            <v>45315</v>
          </cell>
          <cell r="H840" t="str">
            <v>01.0073</v>
          </cell>
          <cell r="I840" t="str">
            <v>לוונשטיין טכנולוגיות בע"מ</v>
          </cell>
          <cell r="J840">
            <v>0.9</v>
          </cell>
          <cell r="K840" t="str">
            <v>₪</v>
          </cell>
          <cell r="L840">
            <v>1000</v>
          </cell>
          <cell r="M840" t="str">
            <v>יח'</v>
          </cell>
          <cell r="N840">
            <v>900</v>
          </cell>
        </row>
        <row r="841">
          <cell r="B841" t="str">
            <v xml:space="preserve"> Helicoil M8*1.25*1d - Free 3279-109</v>
          </cell>
          <cell r="C841">
            <v>32626</v>
          </cell>
          <cell r="D841">
            <v>3</v>
          </cell>
          <cell r="E841" t="str">
            <v>קשיח</v>
          </cell>
          <cell r="F841" t="str">
            <v>01.0073</v>
          </cell>
          <cell r="G841">
            <v>44858</v>
          </cell>
          <cell r="H841" t="str">
            <v>01.0073</v>
          </cell>
          <cell r="I841" t="str">
            <v>לוונשטיין טכנולוגיות בע"מ</v>
          </cell>
          <cell r="J841">
            <v>0.9</v>
          </cell>
          <cell r="K841" t="str">
            <v>₪</v>
          </cell>
          <cell r="L841">
            <v>1000</v>
          </cell>
          <cell r="M841" t="str">
            <v>יח'</v>
          </cell>
          <cell r="N841">
            <v>900</v>
          </cell>
        </row>
        <row r="842">
          <cell r="B842" t="str">
            <v xml:space="preserve"> Helicoil M8*1.25*1d - Free 3279-109</v>
          </cell>
          <cell r="C842">
            <v>30100</v>
          </cell>
          <cell r="D842">
            <v>2</v>
          </cell>
          <cell r="E842" t="str">
            <v>קשיח</v>
          </cell>
          <cell r="F842" t="str">
            <v>01.0073</v>
          </cell>
          <cell r="G842">
            <v>44502</v>
          </cell>
          <cell r="H842" t="str">
            <v>01.0073</v>
          </cell>
          <cell r="I842" t="str">
            <v>לוונשטיין טכנולוגיות בע"מ</v>
          </cell>
          <cell r="J842">
            <v>0.7</v>
          </cell>
          <cell r="K842" t="str">
            <v>₪</v>
          </cell>
          <cell r="L842">
            <v>500</v>
          </cell>
          <cell r="M842" t="str">
            <v>יח'</v>
          </cell>
          <cell r="N842">
            <v>350</v>
          </cell>
        </row>
        <row r="843">
          <cell r="B843" t="str">
            <v xml:space="preserve"> Helicoil M8*1.25*1d - Free 3279-109</v>
          </cell>
          <cell r="C843">
            <v>28889</v>
          </cell>
          <cell r="D843">
            <v>3</v>
          </cell>
          <cell r="E843" t="str">
            <v>קשיח</v>
          </cell>
          <cell r="F843" t="str">
            <v>01.0073</v>
          </cell>
          <cell r="G843">
            <v>44339</v>
          </cell>
          <cell r="H843" t="str">
            <v>01.0073</v>
          </cell>
          <cell r="I843" t="str">
            <v>דר טכנולוגיות בע"מ</v>
          </cell>
          <cell r="J843">
            <v>0.5</v>
          </cell>
          <cell r="K843" t="str">
            <v>₪</v>
          </cell>
          <cell r="L843">
            <v>500</v>
          </cell>
          <cell r="M843" t="str">
            <v>יח'</v>
          </cell>
          <cell r="N843">
            <v>250</v>
          </cell>
        </row>
        <row r="844">
          <cell r="B844" t="str">
            <v>קינסרט KNM8*1.25</v>
          </cell>
          <cell r="C844">
            <v>28531</v>
          </cell>
          <cell r="D844">
            <v>1</v>
          </cell>
          <cell r="E844" t="str">
            <v>קשיח</v>
          </cell>
          <cell r="F844" t="str">
            <v>01.0073</v>
          </cell>
          <cell r="G844">
            <v>44291</v>
          </cell>
          <cell r="H844" t="str">
            <v>01.0073</v>
          </cell>
          <cell r="I844" t="str">
            <v>דר טכנולוגיות בע"מ</v>
          </cell>
          <cell r="J844">
            <v>0.55000000000000004</v>
          </cell>
          <cell r="K844" t="str">
            <v>₪</v>
          </cell>
          <cell r="L844">
            <v>500</v>
          </cell>
          <cell r="M844" t="str">
            <v>יח'</v>
          </cell>
          <cell r="N844">
            <v>275</v>
          </cell>
        </row>
        <row r="845">
          <cell r="B845" t="str">
            <v xml:space="preserve"> Helicoil M8*1.25*1d -</v>
          </cell>
          <cell r="C845">
            <v>27417</v>
          </cell>
          <cell r="D845">
            <v>1</v>
          </cell>
          <cell r="E845" t="str">
            <v>קשיח</v>
          </cell>
          <cell r="F845" t="str">
            <v>01.0073</v>
          </cell>
          <cell r="G845">
            <v>44138</v>
          </cell>
          <cell r="H845" t="str">
            <v>01.0073</v>
          </cell>
          <cell r="I845" t="str">
            <v>דר טכנולוגיות בע"מ</v>
          </cell>
          <cell r="J845">
            <v>0.45</v>
          </cell>
          <cell r="K845" t="str">
            <v>₪</v>
          </cell>
          <cell r="L845">
            <v>500</v>
          </cell>
          <cell r="M845" t="str">
            <v>יח'</v>
          </cell>
          <cell r="N845">
            <v>225</v>
          </cell>
        </row>
        <row r="846">
          <cell r="B846" t="str">
            <v xml:space="preserve"> Helicoil M8*1.25*1d - Free</v>
          </cell>
          <cell r="C846">
            <v>23798</v>
          </cell>
          <cell r="D846">
            <v>1</v>
          </cell>
          <cell r="E846" t="str">
            <v>קשיח</v>
          </cell>
          <cell r="F846" t="str">
            <v>01.0073</v>
          </cell>
          <cell r="G846">
            <v>43606</v>
          </cell>
          <cell r="H846" t="str">
            <v>01.0073</v>
          </cell>
          <cell r="I846" t="str">
            <v>ברמיל בע"מ</v>
          </cell>
          <cell r="J846">
            <v>0.5</v>
          </cell>
          <cell r="K846" t="str">
            <v>₪</v>
          </cell>
          <cell r="L846">
            <v>300</v>
          </cell>
          <cell r="M846" t="str">
            <v>יח'</v>
          </cell>
          <cell r="N846">
            <v>150</v>
          </cell>
        </row>
        <row r="847">
          <cell r="B847" t="str">
            <v>קינסרט KNM8*1.25</v>
          </cell>
          <cell r="C847">
            <v>343</v>
          </cell>
          <cell r="D847">
            <v>1</v>
          </cell>
          <cell r="E847" t="str">
            <v>קשיח</v>
          </cell>
          <cell r="F847" t="str">
            <v>01.0073</v>
          </cell>
          <cell r="G847">
            <v>41116</v>
          </cell>
          <cell r="H847" t="str">
            <v>01.0073</v>
          </cell>
          <cell r="I847" t="str">
            <v>גין מהנדסים בע"מ</v>
          </cell>
          <cell r="J847">
            <v>26</v>
          </cell>
          <cell r="K847" t="str">
            <v>₪</v>
          </cell>
          <cell r="L847">
            <v>28</v>
          </cell>
          <cell r="M847" t="str">
            <v>יח'</v>
          </cell>
          <cell r="N847">
            <v>728</v>
          </cell>
        </row>
        <row r="848">
          <cell r="B848" t="str">
            <v xml:space="preserve"> Helicoil M12*1.75*1.5d - Free</v>
          </cell>
          <cell r="C848">
            <v>35355</v>
          </cell>
          <cell r="D848">
            <v>1</v>
          </cell>
          <cell r="E848" t="str">
            <v>קשיח</v>
          </cell>
          <cell r="F848" t="str">
            <v>01.0078</v>
          </cell>
          <cell r="G848">
            <v>45218</v>
          </cell>
          <cell r="H848" t="str">
            <v>01.0078</v>
          </cell>
          <cell r="I848" t="str">
            <v>לוונשטיין טכנולוגיות בע"מ</v>
          </cell>
          <cell r="J848">
            <v>1.3</v>
          </cell>
          <cell r="K848" t="str">
            <v>₪</v>
          </cell>
          <cell r="L848">
            <v>150</v>
          </cell>
          <cell r="M848" t="str">
            <v>יח'</v>
          </cell>
          <cell r="N848">
            <v>195</v>
          </cell>
        </row>
        <row r="849">
          <cell r="B849" t="str">
            <v>MS124658,INSERT, HELICAL, 3/8-24 X 1D</v>
          </cell>
          <cell r="C849">
            <v>37272</v>
          </cell>
          <cell r="D849">
            <v>1</v>
          </cell>
          <cell r="E849" t="str">
            <v>קשיח</v>
          </cell>
          <cell r="F849" t="str">
            <v>01.0079</v>
          </cell>
          <cell r="G849">
            <v>45438</v>
          </cell>
          <cell r="H849" t="str">
            <v>01.0079</v>
          </cell>
          <cell r="I849" t="str">
            <v>דר טכנולוגיות בע"מ</v>
          </cell>
          <cell r="J849">
            <v>0.6</v>
          </cell>
          <cell r="K849" t="str">
            <v>₪</v>
          </cell>
          <cell r="L849">
            <v>100</v>
          </cell>
          <cell r="M849" t="str">
            <v>יח'</v>
          </cell>
          <cell r="N849">
            <v>60</v>
          </cell>
        </row>
        <row r="850">
          <cell r="B850" t="str">
            <v>MS124658,INSERT, HELICAL, 3/8-24 X 1D</v>
          </cell>
          <cell r="C850">
            <v>18777</v>
          </cell>
          <cell r="D850">
            <v>7</v>
          </cell>
          <cell r="E850" t="str">
            <v>קשיח</v>
          </cell>
          <cell r="F850" t="str">
            <v>01.0079</v>
          </cell>
          <cell r="G850">
            <v>43121</v>
          </cell>
          <cell r="H850" t="str">
            <v>01.0079</v>
          </cell>
          <cell r="I850" t="str">
            <v>גין מהנדסים בע"מ</v>
          </cell>
          <cell r="J850">
            <v>0.86009999999999998</v>
          </cell>
          <cell r="K850" t="str">
            <v>₪</v>
          </cell>
          <cell r="M850" t="str">
            <v>יח'</v>
          </cell>
        </row>
        <row r="851">
          <cell r="B851" t="str">
            <v>MS124738, INSERT, HELICAL, 3/8-24 X 2D</v>
          </cell>
          <cell r="C851">
            <v>36382</v>
          </cell>
          <cell r="D851">
            <v>1</v>
          </cell>
          <cell r="E851" t="str">
            <v>קשיח</v>
          </cell>
          <cell r="F851" t="str">
            <v>01.0080</v>
          </cell>
          <cell r="G851">
            <v>45333</v>
          </cell>
          <cell r="H851" t="str">
            <v>01.0080</v>
          </cell>
          <cell r="I851" t="str">
            <v>לוונשטיין טכנולוגיות בע"מ</v>
          </cell>
          <cell r="J851">
            <v>2</v>
          </cell>
          <cell r="K851" t="str">
            <v>₪</v>
          </cell>
          <cell r="L851">
            <v>100</v>
          </cell>
          <cell r="M851" t="str">
            <v>יח'</v>
          </cell>
          <cell r="N851">
            <v>200</v>
          </cell>
        </row>
        <row r="852">
          <cell r="B852" t="str">
            <v>MS124738, INSERT, HELICAL, 3/8-24 X 2D</v>
          </cell>
          <cell r="C852">
            <v>18777</v>
          </cell>
          <cell r="D852">
            <v>8</v>
          </cell>
          <cell r="E852" t="str">
            <v>קשיח</v>
          </cell>
          <cell r="F852" t="str">
            <v>01.0080</v>
          </cell>
          <cell r="G852">
            <v>43121</v>
          </cell>
          <cell r="H852" t="str">
            <v>01.0080</v>
          </cell>
          <cell r="I852" t="str">
            <v>גין מהנדסים בע"מ</v>
          </cell>
          <cell r="J852">
            <v>0</v>
          </cell>
          <cell r="K852" t="str">
            <v>₪</v>
          </cell>
          <cell r="M852" t="str">
            <v>יח'</v>
          </cell>
        </row>
        <row r="853">
          <cell r="B853" t="str">
            <v>MS124738, INSERT, HELICAL, 3/8-24 X 2D</v>
          </cell>
          <cell r="C853">
            <v>18625</v>
          </cell>
          <cell r="D853">
            <v>12</v>
          </cell>
          <cell r="E853" t="str">
            <v>קשיח</v>
          </cell>
          <cell r="F853" t="str">
            <v>01.0080</v>
          </cell>
          <cell r="G853">
            <v>43104</v>
          </cell>
          <cell r="H853" t="str">
            <v>01.0080</v>
          </cell>
          <cell r="I853" t="str">
            <v>גין מהנדסים בע"מ</v>
          </cell>
          <cell r="J853">
            <v>0</v>
          </cell>
          <cell r="K853" t="str">
            <v>₪</v>
          </cell>
          <cell r="M853" t="str">
            <v>יח'</v>
          </cell>
        </row>
        <row r="854">
          <cell r="B854" t="str">
            <v>MS21209F6-15, INSERT, HELICAL, 3/8-24 X 1.5</v>
          </cell>
          <cell r="C854">
            <v>39674</v>
          </cell>
          <cell r="D854">
            <v>1</v>
          </cell>
          <cell r="E854" t="str">
            <v>קשיח</v>
          </cell>
          <cell r="F854" t="str">
            <v>01.0081</v>
          </cell>
          <cell r="G854">
            <v>45690</v>
          </cell>
          <cell r="H854" t="str">
            <v>01.0081</v>
          </cell>
          <cell r="I854" t="str">
            <v>לוונשטיין טכנולוגיות בע"מ</v>
          </cell>
          <cell r="J854">
            <v>2.3952</v>
          </cell>
          <cell r="K854" t="str">
            <v>₪</v>
          </cell>
          <cell r="L854">
            <v>200</v>
          </cell>
          <cell r="M854" t="str">
            <v>יח'</v>
          </cell>
          <cell r="N854">
            <v>479.04</v>
          </cell>
        </row>
        <row r="855">
          <cell r="B855" t="str">
            <v>MS21209F6-15, INSERT, HELICAL, 3/8-24 X 1.5</v>
          </cell>
          <cell r="C855">
            <v>37078</v>
          </cell>
          <cell r="D855">
            <v>1</v>
          </cell>
          <cell r="E855" t="str">
            <v>קשיח</v>
          </cell>
          <cell r="F855" t="str">
            <v>01.0081</v>
          </cell>
          <cell r="G855">
            <v>45414</v>
          </cell>
          <cell r="H855" t="str">
            <v>01.0081</v>
          </cell>
          <cell r="I855" t="str">
            <v>לוונשטיין טכנולוגיות בע"מ</v>
          </cell>
          <cell r="J855">
            <v>2.4</v>
          </cell>
          <cell r="K855" t="str">
            <v>₪</v>
          </cell>
          <cell r="L855">
            <v>100</v>
          </cell>
          <cell r="M855" t="str">
            <v>יח'</v>
          </cell>
          <cell r="N855">
            <v>240</v>
          </cell>
        </row>
        <row r="856">
          <cell r="B856" t="str">
            <v>MS122123, INSERT, HELICAL, 3/8-16 X 1.5</v>
          </cell>
          <cell r="C856">
            <v>36413</v>
          </cell>
          <cell r="D856">
            <v>1</v>
          </cell>
          <cell r="E856" t="str">
            <v>קשיח</v>
          </cell>
          <cell r="F856" t="str">
            <v>01.0082</v>
          </cell>
          <cell r="G856">
            <v>45335</v>
          </cell>
          <cell r="H856" t="str">
            <v>01.0082</v>
          </cell>
          <cell r="I856" t="str">
            <v>דר טכנולוגיות בע"מ</v>
          </cell>
          <cell r="J856">
            <v>1.5</v>
          </cell>
          <cell r="K856" t="str">
            <v>₪</v>
          </cell>
          <cell r="L856">
            <v>100</v>
          </cell>
          <cell r="M856" t="str">
            <v>יח'</v>
          </cell>
          <cell r="N856">
            <v>150</v>
          </cell>
        </row>
        <row r="857">
          <cell r="B857" t="str">
            <v>MS122123, INSERT, HELICAL, 3/8-16 X 1.5</v>
          </cell>
          <cell r="C857">
            <v>24213</v>
          </cell>
          <cell r="D857">
            <v>2</v>
          </cell>
          <cell r="E857" t="str">
            <v>קשיח</v>
          </cell>
          <cell r="F857" t="str">
            <v>01.0082</v>
          </cell>
          <cell r="G857">
            <v>43655</v>
          </cell>
          <cell r="H857" t="str">
            <v>01.0082</v>
          </cell>
          <cell r="I857" t="str">
            <v>דר טכנולוגיות בע"מ</v>
          </cell>
          <cell r="J857">
            <v>0.65</v>
          </cell>
          <cell r="K857" t="str">
            <v>₪</v>
          </cell>
          <cell r="L857">
            <v>100</v>
          </cell>
          <cell r="M857" t="str">
            <v>יח'</v>
          </cell>
          <cell r="N857">
            <v>65</v>
          </cell>
        </row>
        <row r="858">
          <cell r="B858" t="str">
            <v>MS122163, INSERT, HELICAL, 3/8-16 X 2D</v>
          </cell>
          <cell r="C858">
            <v>35355</v>
          </cell>
          <cell r="D858">
            <v>2</v>
          </cell>
          <cell r="E858" t="str">
            <v>קשיח</v>
          </cell>
          <cell r="F858" t="str">
            <v>01.0083</v>
          </cell>
          <cell r="G858">
            <v>45218</v>
          </cell>
          <cell r="H858" t="str">
            <v>01.0083</v>
          </cell>
          <cell r="I858" t="str">
            <v>לוונשטיין טכנולוגיות בע"מ</v>
          </cell>
          <cell r="J858">
            <v>1.5</v>
          </cell>
          <cell r="K858" t="str">
            <v>₪</v>
          </cell>
          <cell r="L858">
            <v>150</v>
          </cell>
          <cell r="M858" t="str">
            <v>יח'</v>
          </cell>
          <cell r="N858">
            <v>225</v>
          </cell>
        </row>
        <row r="859">
          <cell r="B859" t="str">
            <v>MS122163, INSERT, HELICAL, 3/8-16 X 2D</v>
          </cell>
          <cell r="C859">
            <v>29893</v>
          </cell>
          <cell r="D859">
            <v>1</v>
          </cell>
          <cell r="E859" t="str">
            <v>קשיח</v>
          </cell>
          <cell r="F859" t="str">
            <v>01.0083</v>
          </cell>
          <cell r="G859">
            <v>44475</v>
          </cell>
          <cell r="H859" t="str">
            <v>01.0083</v>
          </cell>
          <cell r="I859" t="str">
            <v>לוונשטיין טכנולוגיות בע"מ</v>
          </cell>
          <cell r="J859">
            <v>3.4</v>
          </cell>
          <cell r="K859" t="str">
            <v>₪</v>
          </cell>
          <cell r="L859">
            <v>150</v>
          </cell>
          <cell r="M859" t="str">
            <v>יח'</v>
          </cell>
          <cell r="N859">
            <v>510</v>
          </cell>
        </row>
        <row r="860">
          <cell r="B860" t="str">
            <v>MS122163, INSERT, HELICAL, 3/8-16 X 2D</v>
          </cell>
          <cell r="C860">
            <v>29895</v>
          </cell>
          <cell r="D860">
            <v>1</v>
          </cell>
          <cell r="E860" t="str">
            <v>קשיח</v>
          </cell>
          <cell r="F860" t="str">
            <v>01.0083</v>
          </cell>
          <cell r="G860">
            <v>44475</v>
          </cell>
          <cell r="H860" t="str">
            <v>01.0083</v>
          </cell>
          <cell r="I860" t="str">
            <v>גין מהנדסים בע"מ</v>
          </cell>
          <cell r="J860">
            <v>1</v>
          </cell>
          <cell r="K860" t="str">
            <v>₪</v>
          </cell>
          <cell r="L860">
            <v>700</v>
          </cell>
          <cell r="M860" t="str">
            <v>יח'</v>
          </cell>
          <cell r="N860">
            <v>700</v>
          </cell>
        </row>
        <row r="861">
          <cell r="B861" t="str">
            <v>MS122163, INSERT, HELICAL, 3/8-16 X 2D</v>
          </cell>
          <cell r="C861">
            <v>24306</v>
          </cell>
          <cell r="D861">
            <v>1</v>
          </cell>
          <cell r="E861" t="str">
            <v>קשיח</v>
          </cell>
          <cell r="F861" t="str">
            <v>01.0083</v>
          </cell>
          <cell r="G861">
            <v>43667</v>
          </cell>
          <cell r="H861" t="str">
            <v>01.0083</v>
          </cell>
          <cell r="I861" t="str">
            <v>לוונשטיין טכנולוגיות</v>
          </cell>
          <cell r="J861">
            <v>2.1</v>
          </cell>
          <cell r="K861" t="str">
            <v>₪</v>
          </cell>
          <cell r="L861">
            <v>400</v>
          </cell>
          <cell r="M861" t="str">
            <v>יח'</v>
          </cell>
          <cell r="N861">
            <v>840</v>
          </cell>
        </row>
        <row r="862">
          <cell r="B862" t="str">
            <v>MS122163, INSERT, HELICAL, 3/8-16 X 2D</v>
          </cell>
          <cell r="C862">
            <v>8203</v>
          </cell>
          <cell r="D862">
            <v>1</v>
          </cell>
          <cell r="E862" t="str">
            <v>קשיח</v>
          </cell>
          <cell r="F862" t="str">
            <v>01.0083</v>
          </cell>
          <cell r="G862">
            <v>42094</v>
          </cell>
          <cell r="H862" t="str">
            <v>01.0083</v>
          </cell>
          <cell r="I862" t="str">
            <v>דר טכנולוגיות בע"מ</v>
          </cell>
          <cell r="J862">
            <v>2.8984000000000001</v>
          </cell>
          <cell r="K862" t="str">
            <v>₪</v>
          </cell>
          <cell r="M862" t="str">
            <v>יח'</v>
          </cell>
        </row>
        <row r="863">
          <cell r="B863" t="str">
            <v>MS122163, INSERT, HELICAL, 3/8-16 X 2D</v>
          </cell>
          <cell r="C863">
            <v>8059</v>
          </cell>
          <cell r="D863">
            <v>3</v>
          </cell>
          <cell r="E863" t="str">
            <v>קשיח</v>
          </cell>
          <cell r="F863" t="str">
            <v>01.0083</v>
          </cell>
          <cell r="G863">
            <v>42081</v>
          </cell>
          <cell r="H863" t="str">
            <v>01.0083</v>
          </cell>
          <cell r="I863" t="str">
            <v>גין מהנדסים בע"מ</v>
          </cell>
          <cell r="K863" t="str">
            <v>₪</v>
          </cell>
          <cell r="M863" t="str">
            <v>יח'</v>
          </cell>
        </row>
        <row r="864">
          <cell r="B864" t="str">
            <v>MS122087, INSERT, HELICAL, 5/8-11 X 1D</v>
          </cell>
          <cell r="C864">
            <v>39308</v>
          </cell>
          <cell r="D864">
            <v>1</v>
          </cell>
          <cell r="E864" t="str">
            <v>קשיח</v>
          </cell>
          <cell r="F864" t="str">
            <v>01.0084</v>
          </cell>
          <cell r="G864">
            <v>45655</v>
          </cell>
          <cell r="H864" t="str">
            <v>01.0084</v>
          </cell>
          <cell r="I864" t="str">
            <v>גין מהנדסים בע"מ</v>
          </cell>
          <cell r="J864">
            <v>2.5</v>
          </cell>
          <cell r="K864" t="str">
            <v>₪</v>
          </cell>
          <cell r="L864">
            <v>500</v>
          </cell>
          <cell r="M864" t="str">
            <v>יח'</v>
          </cell>
          <cell r="N864">
            <v>1250</v>
          </cell>
        </row>
        <row r="865">
          <cell r="B865" t="str">
            <v>MS122127</v>
          </cell>
          <cell r="C865">
            <v>23141</v>
          </cell>
          <cell r="D865">
            <v>1</v>
          </cell>
          <cell r="E865" t="str">
            <v>קשיח</v>
          </cell>
          <cell r="F865" t="str">
            <v>01.0085</v>
          </cell>
          <cell r="G865">
            <v>43531</v>
          </cell>
          <cell r="H865" t="str">
            <v>01.0085</v>
          </cell>
          <cell r="I865" t="str">
            <v>ברמיל בע"מ</v>
          </cell>
          <cell r="J865">
            <v>2.65</v>
          </cell>
          <cell r="K865" t="str">
            <v>₪</v>
          </cell>
          <cell r="L865">
            <v>100</v>
          </cell>
          <cell r="M865" t="str">
            <v>יח'</v>
          </cell>
          <cell r="N865">
            <v>265</v>
          </cell>
        </row>
        <row r="866">
          <cell r="B866" t="str">
            <v>MS21209C8-10, INSERT</v>
          </cell>
          <cell r="C866">
            <v>42654</v>
          </cell>
          <cell r="D866">
            <v>2</v>
          </cell>
          <cell r="E866" t="str">
            <v>קשיח</v>
          </cell>
          <cell r="F866" t="str">
            <v>01.0087</v>
          </cell>
          <cell r="G866">
            <v>45971</v>
          </cell>
          <cell r="H866" t="str">
            <v>01.0087</v>
          </cell>
          <cell r="I866" t="str">
            <v>דר טכנולוגיות בע"מ</v>
          </cell>
          <cell r="J866">
            <v>2.9998999999999998</v>
          </cell>
          <cell r="K866" t="str">
            <v>₪</v>
          </cell>
          <cell r="L866">
            <v>100</v>
          </cell>
          <cell r="M866" t="str">
            <v>יח'</v>
          </cell>
          <cell r="N866">
            <v>299.98999999999995</v>
          </cell>
        </row>
        <row r="867">
          <cell r="B867" t="str">
            <v>MS21209C8-10, INSERT</v>
          </cell>
          <cell r="C867">
            <v>42518</v>
          </cell>
          <cell r="D867">
            <v>2</v>
          </cell>
          <cell r="E867" t="str">
            <v>קשיח</v>
          </cell>
          <cell r="F867" t="str">
            <v>01.0087</v>
          </cell>
          <cell r="G867">
            <v>45959</v>
          </cell>
          <cell r="H867" t="str">
            <v>01.0087</v>
          </cell>
          <cell r="I867" t="str">
            <v>דר טכנולוגיות בע"מ</v>
          </cell>
          <cell r="J867">
            <v>2.9998999999999998</v>
          </cell>
          <cell r="K867" t="str">
            <v>₪</v>
          </cell>
          <cell r="L867">
            <v>100</v>
          </cell>
          <cell r="M867" t="str">
            <v>יח'</v>
          </cell>
          <cell r="N867">
            <v>299.98999999999995</v>
          </cell>
        </row>
        <row r="868">
          <cell r="B868" t="str">
            <v>MS21209C8-10, INSERT</v>
          </cell>
          <cell r="C868">
            <v>41612</v>
          </cell>
          <cell r="D868">
            <v>1</v>
          </cell>
          <cell r="E868" t="str">
            <v>קשיח</v>
          </cell>
          <cell r="F868" t="str">
            <v>01.0087</v>
          </cell>
          <cell r="G868">
            <v>45866</v>
          </cell>
          <cell r="H868" t="str">
            <v>01.0087</v>
          </cell>
          <cell r="I868" t="str">
            <v>דר טכנולוגיות בע"מ</v>
          </cell>
          <cell r="J868">
            <v>3</v>
          </cell>
          <cell r="K868" t="str">
            <v>₪</v>
          </cell>
          <cell r="L868">
            <v>110</v>
          </cell>
          <cell r="M868" t="str">
            <v>יח'</v>
          </cell>
          <cell r="N868">
            <v>330</v>
          </cell>
        </row>
        <row r="869">
          <cell r="B869" t="str">
            <v>MS21209C8-10, INSERT</v>
          </cell>
          <cell r="C869">
            <v>40174</v>
          </cell>
          <cell r="D869">
            <v>1</v>
          </cell>
          <cell r="E869" t="str">
            <v>קשיח</v>
          </cell>
          <cell r="F869" t="str">
            <v>01.0087</v>
          </cell>
          <cell r="G869">
            <v>45732</v>
          </cell>
          <cell r="H869" t="str">
            <v>01.0087</v>
          </cell>
          <cell r="I869" t="str">
            <v>דר טכנולוגיות בע"מ</v>
          </cell>
          <cell r="J869">
            <v>3</v>
          </cell>
          <cell r="K869" t="str">
            <v>₪</v>
          </cell>
          <cell r="L869">
            <v>50</v>
          </cell>
          <cell r="M869" t="str">
            <v>יח'</v>
          </cell>
          <cell r="N869">
            <v>150</v>
          </cell>
        </row>
        <row r="870">
          <cell r="B870" t="str">
            <v>MS21209C8-10, INSERT</v>
          </cell>
          <cell r="C870">
            <v>31164</v>
          </cell>
          <cell r="D870">
            <v>1</v>
          </cell>
          <cell r="E870" t="str">
            <v>קשיח</v>
          </cell>
          <cell r="F870" t="str">
            <v>01.0087</v>
          </cell>
          <cell r="G870">
            <v>44643</v>
          </cell>
          <cell r="H870" t="str">
            <v>01.0087</v>
          </cell>
          <cell r="I870" t="str">
            <v>לוונשטיין טכנולוגיות בע"מ</v>
          </cell>
          <cell r="K870" t="str">
            <v>₪</v>
          </cell>
          <cell r="L870">
            <v>100</v>
          </cell>
          <cell r="M870" t="str">
            <v>יח'</v>
          </cell>
        </row>
        <row r="871">
          <cell r="B871" t="str">
            <v>MS21209C8-10, INSERT</v>
          </cell>
          <cell r="C871">
            <v>31097</v>
          </cell>
          <cell r="D871">
            <v>1</v>
          </cell>
          <cell r="E871" t="str">
            <v>קשיח</v>
          </cell>
          <cell r="F871" t="str">
            <v>01.0087</v>
          </cell>
          <cell r="G871">
            <v>44636</v>
          </cell>
          <cell r="H871" t="str">
            <v>01.0087</v>
          </cell>
          <cell r="I871" t="str">
            <v>דר טכנולוגיות בע"מ</v>
          </cell>
          <cell r="J871">
            <v>2</v>
          </cell>
          <cell r="K871" t="str">
            <v>₪</v>
          </cell>
          <cell r="L871">
            <v>100</v>
          </cell>
          <cell r="M871" t="str">
            <v>יח'</v>
          </cell>
          <cell r="N871">
            <v>200</v>
          </cell>
        </row>
        <row r="872">
          <cell r="B872" t="str">
            <v>MS122128, INSERT, HELICAL, 3/4-10 X 1.5d</v>
          </cell>
          <cell r="C872">
            <v>23142</v>
          </cell>
          <cell r="D872">
            <v>1</v>
          </cell>
          <cell r="E872" t="str">
            <v>קשיח</v>
          </cell>
          <cell r="F872" t="str">
            <v>01.0088</v>
          </cell>
          <cell r="G872">
            <v>43531</v>
          </cell>
          <cell r="H872" t="str">
            <v>01.0088</v>
          </cell>
          <cell r="I872" t="str">
            <v>גין מהנדסים בע"מ</v>
          </cell>
          <cell r="J872">
            <v>7.9</v>
          </cell>
          <cell r="K872" t="str">
            <v>₪</v>
          </cell>
          <cell r="L872">
            <v>50</v>
          </cell>
          <cell r="M872" t="str">
            <v>יח'</v>
          </cell>
          <cell r="N872">
            <v>395</v>
          </cell>
        </row>
        <row r="873">
          <cell r="B873" t="str">
            <v>MS51830-202L, Keensert 1/4-28 S/L</v>
          </cell>
          <cell r="C873">
            <v>38437</v>
          </cell>
          <cell r="D873">
            <v>1</v>
          </cell>
          <cell r="E873" t="str">
            <v>קשיח</v>
          </cell>
          <cell r="F873" t="str">
            <v>01.0089</v>
          </cell>
          <cell r="G873">
            <v>45560</v>
          </cell>
          <cell r="H873" t="str">
            <v>01.0089</v>
          </cell>
          <cell r="I873" t="str">
            <v>גין מהנדסים בע"מ</v>
          </cell>
          <cell r="J873">
            <v>7.9</v>
          </cell>
          <cell r="K873" t="str">
            <v>₪</v>
          </cell>
          <cell r="L873">
            <v>150</v>
          </cell>
          <cell r="M873" t="str">
            <v>יח'</v>
          </cell>
          <cell r="N873">
            <v>1185</v>
          </cell>
        </row>
        <row r="874">
          <cell r="B874" t="str">
            <v>MS51830-202L, Keensert 1/4-28 S/L</v>
          </cell>
          <cell r="C874">
            <v>36254</v>
          </cell>
          <cell r="D874">
            <v>1</v>
          </cell>
          <cell r="E874" t="str">
            <v>קשיח</v>
          </cell>
          <cell r="F874" t="str">
            <v>01.0089</v>
          </cell>
          <cell r="G874">
            <v>45319</v>
          </cell>
          <cell r="H874" t="str">
            <v>01.0089</v>
          </cell>
          <cell r="I874" t="str">
            <v>גין מהנדסים בע"מ</v>
          </cell>
          <cell r="J874">
            <v>7.5</v>
          </cell>
          <cell r="K874" t="str">
            <v>₪</v>
          </cell>
          <cell r="L874">
            <v>300</v>
          </cell>
          <cell r="M874" t="str">
            <v>יח'</v>
          </cell>
          <cell r="N874">
            <v>2250</v>
          </cell>
        </row>
        <row r="875">
          <cell r="B875" t="str">
            <v>MS51830-202L, Keensert 1/4-28 S/L</v>
          </cell>
          <cell r="C875">
            <v>32126</v>
          </cell>
          <cell r="D875">
            <v>1</v>
          </cell>
          <cell r="E875" t="str">
            <v>קשיח</v>
          </cell>
          <cell r="F875" t="str">
            <v>01.0089</v>
          </cell>
          <cell r="G875">
            <v>44780</v>
          </cell>
          <cell r="H875" t="str">
            <v>01.0089</v>
          </cell>
          <cell r="I875" t="str">
            <v>גין מהנדסים בע"מ</v>
          </cell>
          <cell r="J875">
            <v>7</v>
          </cell>
          <cell r="K875" t="str">
            <v>₪</v>
          </cell>
          <cell r="L875">
            <v>200</v>
          </cell>
          <cell r="M875" t="str">
            <v>יח'</v>
          </cell>
          <cell r="N875">
            <v>1400</v>
          </cell>
        </row>
        <row r="876">
          <cell r="B876" t="str">
            <v>MS51830-202L, Keensert 1/4-28 S/L</v>
          </cell>
          <cell r="C876">
            <v>24179</v>
          </cell>
          <cell r="D876">
            <v>6</v>
          </cell>
          <cell r="E876" t="str">
            <v>קשיח</v>
          </cell>
          <cell r="F876" t="str">
            <v>01.0089</v>
          </cell>
          <cell r="G876">
            <v>43654</v>
          </cell>
          <cell r="H876" t="str">
            <v>01.0089</v>
          </cell>
          <cell r="I876" t="str">
            <v>גין מהנדסים בע"מ</v>
          </cell>
          <cell r="J876">
            <v>5.5000999999999998</v>
          </cell>
          <cell r="K876" t="str">
            <v>₪</v>
          </cell>
          <cell r="L876">
            <v>200</v>
          </cell>
          <cell r="M876" t="str">
            <v>יח'</v>
          </cell>
          <cell r="N876">
            <v>1100.02</v>
          </cell>
        </row>
        <row r="877">
          <cell r="B877" t="str">
            <v>MS51830-202L, Keensert 1/4-28 S/L</v>
          </cell>
          <cell r="C877">
            <v>24165</v>
          </cell>
          <cell r="D877">
            <v>1</v>
          </cell>
          <cell r="E877" t="str">
            <v>קשיח</v>
          </cell>
          <cell r="F877" t="str">
            <v>01.0089</v>
          </cell>
          <cell r="G877">
            <v>43650</v>
          </cell>
          <cell r="H877" t="str">
            <v>01.0089</v>
          </cell>
          <cell r="I877" t="str">
            <v>גין מהנדסים בע"מ</v>
          </cell>
          <cell r="J877">
            <v>5.5000999999999998</v>
          </cell>
          <cell r="K877" t="str">
            <v>₪</v>
          </cell>
          <cell r="L877">
            <v>300</v>
          </cell>
          <cell r="M877" t="str">
            <v>יח'</v>
          </cell>
          <cell r="N877">
            <v>1650.03</v>
          </cell>
        </row>
        <row r="878">
          <cell r="B878" t="str">
            <v>MS51830-202L</v>
          </cell>
          <cell r="C878">
            <v>6286</v>
          </cell>
          <cell r="D878">
            <v>1</v>
          </cell>
          <cell r="E878" t="str">
            <v>קשיח</v>
          </cell>
          <cell r="F878" t="str">
            <v>01.0089</v>
          </cell>
          <cell r="G878">
            <v>41862</v>
          </cell>
          <cell r="H878" t="str">
            <v>01.0089</v>
          </cell>
          <cell r="I878" t="str">
            <v>גין מהנדסים בע"מ</v>
          </cell>
          <cell r="J878">
            <v>6.36</v>
          </cell>
          <cell r="K878" t="str">
            <v>₪</v>
          </cell>
          <cell r="M878" t="str">
            <v>יח'</v>
          </cell>
        </row>
        <row r="879">
          <cell r="B879" t="str">
            <v>MS51830-202L</v>
          </cell>
          <cell r="C879">
            <v>2331</v>
          </cell>
          <cell r="D879">
            <v>1</v>
          </cell>
          <cell r="E879" t="str">
            <v>קשיח</v>
          </cell>
          <cell r="F879" t="str">
            <v>01.0089</v>
          </cell>
          <cell r="G879">
            <v>41357</v>
          </cell>
          <cell r="H879" t="str">
            <v>01.0089</v>
          </cell>
          <cell r="I879" t="str">
            <v>גין מהנדסים בע"מ</v>
          </cell>
          <cell r="J879">
            <v>6.36</v>
          </cell>
          <cell r="K879" t="str">
            <v>₪</v>
          </cell>
          <cell r="L879">
            <v>100</v>
          </cell>
          <cell r="M879" t="str">
            <v>יח'</v>
          </cell>
          <cell r="N879">
            <v>636</v>
          </cell>
        </row>
        <row r="880">
          <cell r="B880" t="str">
            <v>MS21209C0610, INSERT, HELICAL, 6-32 X 1D</v>
          </cell>
          <cell r="C880">
            <v>41923</v>
          </cell>
          <cell r="D880">
            <v>2</v>
          </cell>
          <cell r="E880" t="str">
            <v>קשיח</v>
          </cell>
          <cell r="F880" t="str">
            <v>01.0093</v>
          </cell>
          <cell r="G880">
            <v>45894</v>
          </cell>
          <cell r="H880" t="str">
            <v>01.0093</v>
          </cell>
          <cell r="I880" t="str">
            <v>לוונשטיין טכנולוגיות בע"מ</v>
          </cell>
          <cell r="J880">
            <v>0.52</v>
          </cell>
          <cell r="K880" t="str">
            <v>₪</v>
          </cell>
          <cell r="L880">
            <v>1000</v>
          </cell>
          <cell r="M880" t="str">
            <v>יח'</v>
          </cell>
          <cell r="N880">
            <v>520</v>
          </cell>
        </row>
        <row r="881">
          <cell r="B881" t="str">
            <v>MS21209C0610, INSERT, HELICAL, 6-32 X 1D</v>
          </cell>
          <cell r="C881">
            <v>39046</v>
          </cell>
          <cell r="D881">
            <v>2</v>
          </cell>
          <cell r="E881" t="str">
            <v>קשיח</v>
          </cell>
          <cell r="F881" t="str">
            <v>01.0093</v>
          </cell>
          <cell r="G881">
            <v>45630</v>
          </cell>
          <cell r="H881" t="str">
            <v>01.0093</v>
          </cell>
          <cell r="I881" t="str">
            <v>לוונשטיין טכנולוגיות בע"מ</v>
          </cell>
          <cell r="J881">
            <v>0.48909999999999998</v>
          </cell>
          <cell r="K881" t="str">
            <v>₪</v>
          </cell>
          <cell r="L881">
            <v>1000</v>
          </cell>
          <cell r="M881" t="str">
            <v>יח'</v>
          </cell>
          <cell r="N881">
            <v>489.09999999999997</v>
          </cell>
        </row>
        <row r="882">
          <cell r="B882" t="str">
            <v>MS21209C0610, INSERT, HELICAL, 6-32 X 1D</v>
          </cell>
          <cell r="C882">
            <v>32152</v>
          </cell>
          <cell r="D882">
            <v>2</v>
          </cell>
          <cell r="E882" t="str">
            <v>קשיח</v>
          </cell>
          <cell r="F882" t="str">
            <v>01.0093</v>
          </cell>
          <cell r="G882">
            <v>44782</v>
          </cell>
          <cell r="H882" t="str">
            <v>01.0093</v>
          </cell>
          <cell r="I882" t="str">
            <v>לוונשטיין טכנולוגיות בע"מ</v>
          </cell>
          <cell r="J882">
            <v>0.48870000000000002</v>
          </cell>
          <cell r="K882" t="str">
            <v>₪</v>
          </cell>
          <cell r="L882">
            <v>2000</v>
          </cell>
          <cell r="M882" t="str">
            <v>יח'</v>
          </cell>
          <cell r="N882">
            <v>977.40000000000009</v>
          </cell>
        </row>
        <row r="883">
          <cell r="B883" t="str">
            <v>MS21209C0610, INSERT, HELICAL, 6-32 X 1D</v>
          </cell>
          <cell r="C883">
            <v>31463</v>
          </cell>
          <cell r="D883">
            <v>2</v>
          </cell>
          <cell r="E883" t="str">
            <v>קשיח</v>
          </cell>
          <cell r="F883" t="str">
            <v>01.0093</v>
          </cell>
          <cell r="G883">
            <v>44689</v>
          </cell>
          <cell r="H883" t="str">
            <v>01.0093</v>
          </cell>
          <cell r="I883" t="str">
            <v>לוונשטיין טכנולוגיות בע"מ</v>
          </cell>
          <cell r="J883">
            <v>0.49</v>
          </cell>
          <cell r="K883" t="str">
            <v>₪</v>
          </cell>
          <cell r="L883">
            <v>2000</v>
          </cell>
          <cell r="M883" t="str">
            <v>יח'</v>
          </cell>
          <cell r="N883">
            <v>980</v>
          </cell>
        </row>
        <row r="884">
          <cell r="B884" t="str">
            <v>MS21209C0610, INSERT, HELICAL, 6-32 X 1D</v>
          </cell>
          <cell r="C884">
            <v>28270</v>
          </cell>
          <cell r="D884">
            <v>1</v>
          </cell>
          <cell r="E884" t="str">
            <v>קשיח</v>
          </cell>
          <cell r="F884" t="str">
            <v>01.0093</v>
          </cell>
          <cell r="G884">
            <v>44250</v>
          </cell>
          <cell r="H884" t="str">
            <v>01.0093</v>
          </cell>
          <cell r="I884" t="str">
            <v>לוונשטיין טכנולוגיות</v>
          </cell>
          <cell r="J884">
            <v>0.48</v>
          </cell>
          <cell r="K884" t="str">
            <v>₪</v>
          </cell>
          <cell r="L884">
            <v>1000</v>
          </cell>
          <cell r="M884" t="str">
            <v>יח'</v>
          </cell>
          <cell r="N884">
            <v>480</v>
          </cell>
        </row>
        <row r="885">
          <cell r="B885" t="str">
            <v>MS21209C0610, INSERT, HELICAL, 6-32 X 1D</v>
          </cell>
          <cell r="C885">
            <v>21998</v>
          </cell>
          <cell r="D885">
            <v>3</v>
          </cell>
          <cell r="E885" t="str">
            <v>קשיח</v>
          </cell>
          <cell r="F885" t="str">
            <v>01.0093</v>
          </cell>
          <cell r="G885">
            <v>43395</v>
          </cell>
          <cell r="H885" t="str">
            <v>01.0093</v>
          </cell>
          <cell r="I885" t="str">
            <v>גין מהנדסים בע"מ</v>
          </cell>
          <cell r="J885">
            <v>0.45979999999999999</v>
          </cell>
          <cell r="K885" t="str">
            <v>₪</v>
          </cell>
          <cell r="M885" t="str">
            <v>יח'</v>
          </cell>
        </row>
        <row r="886">
          <cell r="B886" t="str">
            <v xml:space="preserve"> Helicoil M3*1d - Free</v>
          </cell>
          <cell r="C886">
            <v>42663</v>
          </cell>
          <cell r="D886">
            <v>3</v>
          </cell>
          <cell r="E886" t="str">
            <v>קשיח</v>
          </cell>
          <cell r="F886" t="str">
            <v>01.0094</v>
          </cell>
          <cell r="G886">
            <v>45972</v>
          </cell>
          <cell r="H886" t="str">
            <v>01.0094</v>
          </cell>
          <cell r="I886" t="str">
            <v>דר טכנולוגיות בע"מ</v>
          </cell>
          <cell r="J886">
            <v>0.46</v>
          </cell>
          <cell r="K886" t="str">
            <v>₪</v>
          </cell>
          <cell r="L886">
            <v>1000</v>
          </cell>
          <cell r="M886" t="str">
            <v>יח'</v>
          </cell>
          <cell r="N886">
            <v>460</v>
          </cell>
        </row>
        <row r="887">
          <cell r="B887" t="str">
            <v xml:space="preserve"> Helicoil M3*1d - Free</v>
          </cell>
          <cell r="C887">
            <v>37080</v>
          </cell>
          <cell r="D887">
            <v>2</v>
          </cell>
          <cell r="E887" t="str">
            <v>קשיח</v>
          </cell>
          <cell r="F887" t="str">
            <v>01.0094</v>
          </cell>
          <cell r="G887">
            <v>45414</v>
          </cell>
          <cell r="H887" t="str">
            <v>01.0094</v>
          </cell>
          <cell r="I887" t="str">
            <v>לוונשטיין טכנולוגיות בע"מ</v>
          </cell>
          <cell r="J887">
            <v>0.52</v>
          </cell>
          <cell r="K887" t="str">
            <v>₪</v>
          </cell>
          <cell r="L887">
            <v>1000</v>
          </cell>
          <cell r="M887" t="str">
            <v>יח'</v>
          </cell>
          <cell r="N887">
            <v>520</v>
          </cell>
        </row>
        <row r="888">
          <cell r="B888" t="str">
            <v xml:space="preserve"> Helicoil M3*1d - Free</v>
          </cell>
          <cell r="C888">
            <v>37006</v>
          </cell>
          <cell r="D888">
            <v>1</v>
          </cell>
          <cell r="E888" t="str">
            <v>קשיח</v>
          </cell>
          <cell r="F888" t="str">
            <v>01.0094</v>
          </cell>
          <cell r="G888">
            <v>45406</v>
          </cell>
          <cell r="H888" t="str">
            <v>01.0094</v>
          </cell>
          <cell r="I888" t="str">
            <v>דר טכנולוגיות בע"מ</v>
          </cell>
          <cell r="J888">
            <v>0.46</v>
          </cell>
          <cell r="K888" t="str">
            <v>₪</v>
          </cell>
          <cell r="L888">
            <v>1000</v>
          </cell>
          <cell r="M888" t="str">
            <v>יח'</v>
          </cell>
          <cell r="N888">
            <v>460</v>
          </cell>
        </row>
        <row r="889">
          <cell r="B889" t="str">
            <v xml:space="preserve"> Helicoil M3*1d - Free</v>
          </cell>
          <cell r="C889">
            <v>35354</v>
          </cell>
          <cell r="D889">
            <v>1</v>
          </cell>
          <cell r="E889" t="str">
            <v>קשיח</v>
          </cell>
          <cell r="F889" t="str">
            <v>01.0094</v>
          </cell>
          <cell r="G889">
            <v>45218</v>
          </cell>
          <cell r="H889" t="str">
            <v>01.0094</v>
          </cell>
          <cell r="I889" t="str">
            <v>לוונשטיין טכנולוגיות בע"מ</v>
          </cell>
          <cell r="J889">
            <v>0.49009999999999998</v>
          </cell>
          <cell r="K889" t="str">
            <v>₪</v>
          </cell>
          <cell r="L889">
            <v>1000</v>
          </cell>
          <cell r="M889" t="str">
            <v>יח'</v>
          </cell>
          <cell r="N889">
            <v>490.09999999999997</v>
          </cell>
        </row>
        <row r="890">
          <cell r="B890" t="str">
            <v xml:space="preserve"> Helicoil M3*1d - Free</v>
          </cell>
          <cell r="C890">
            <v>31674</v>
          </cell>
          <cell r="D890">
            <v>1</v>
          </cell>
          <cell r="E890" t="str">
            <v>קשיח</v>
          </cell>
          <cell r="F890" t="str">
            <v>01.0094</v>
          </cell>
          <cell r="G890">
            <v>44713</v>
          </cell>
          <cell r="H890" t="str">
            <v>01.0094</v>
          </cell>
          <cell r="I890" t="str">
            <v>לוונשטיין טכנולוגיות בע"מ</v>
          </cell>
          <cell r="J890">
            <v>0.49009999999999998</v>
          </cell>
          <cell r="K890" t="str">
            <v>₪</v>
          </cell>
          <cell r="L890">
            <v>1000</v>
          </cell>
          <cell r="M890" t="str">
            <v>יח'</v>
          </cell>
          <cell r="N890">
            <v>490.09999999999997</v>
          </cell>
        </row>
        <row r="891">
          <cell r="B891" t="str">
            <v xml:space="preserve"> Helicoil M3*1d - Free</v>
          </cell>
          <cell r="C891">
            <v>30888</v>
          </cell>
          <cell r="D891">
            <v>1</v>
          </cell>
          <cell r="E891" t="str">
            <v>קשיח</v>
          </cell>
          <cell r="F891" t="str">
            <v>01.0094</v>
          </cell>
          <cell r="G891">
            <v>44606</v>
          </cell>
          <cell r="H891" t="str">
            <v>01.0094</v>
          </cell>
          <cell r="I891" t="str">
            <v>לוונשטיין טכנולוגיות בע"מ</v>
          </cell>
          <cell r="J891">
            <v>0.49009999999999998</v>
          </cell>
          <cell r="K891" t="str">
            <v>₪</v>
          </cell>
          <cell r="L891">
            <v>1000</v>
          </cell>
          <cell r="M891" t="str">
            <v>יח'</v>
          </cell>
          <cell r="N891">
            <v>490.09999999999997</v>
          </cell>
        </row>
        <row r="892">
          <cell r="B892" t="str">
            <v xml:space="preserve"> Helicoil M3*1d - Free</v>
          </cell>
          <cell r="C892">
            <v>30801</v>
          </cell>
          <cell r="D892">
            <v>1</v>
          </cell>
          <cell r="E892" t="str">
            <v>קשיח</v>
          </cell>
          <cell r="F892" t="str">
            <v>01.0094</v>
          </cell>
          <cell r="G892">
            <v>44594</v>
          </cell>
          <cell r="H892" t="str">
            <v>01.0094</v>
          </cell>
          <cell r="I892" t="str">
            <v>לוונשטיין טכנולוגיות בע"מ</v>
          </cell>
          <cell r="J892">
            <v>0.49</v>
          </cell>
          <cell r="K892" t="str">
            <v>₪</v>
          </cell>
          <cell r="L892">
            <v>1000</v>
          </cell>
          <cell r="M892" t="str">
            <v>יח'</v>
          </cell>
          <cell r="N892">
            <v>490</v>
          </cell>
        </row>
        <row r="893">
          <cell r="B893" t="str">
            <v xml:space="preserve"> Helicoil M3*1d - Free</v>
          </cell>
          <cell r="C893">
            <v>25908</v>
          </cell>
          <cell r="D893">
            <v>1</v>
          </cell>
          <cell r="E893" t="str">
            <v>קשיח</v>
          </cell>
          <cell r="F893" t="str">
            <v>01.0094</v>
          </cell>
          <cell r="G893">
            <v>43915</v>
          </cell>
          <cell r="H893" t="str">
            <v>01.0094</v>
          </cell>
          <cell r="I893" t="str">
            <v>דר טכנולוגיות בע"מ</v>
          </cell>
          <cell r="J893">
            <v>0.45</v>
          </cell>
          <cell r="K893" t="str">
            <v>₪</v>
          </cell>
          <cell r="L893">
            <v>1000</v>
          </cell>
          <cell r="M893" t="str">
            <v>יח'</v>
          </cell>
          <cell r="N893">
            <v>450</v>
          </cell>
        </row>
        <row r="894">
          <cell r="B894" t="str">
            <v xml:space="preserve"> Helicoil M3*1d - Free</v>
          </cell>
          <cell r="C894">
            <v>25773</v>
          </cell>
          <cell r="D894">
            <v>2</v>
          </cell>
          <cell r="E894" t="str">
            <v>קשיח</v>
          </cell>
          <cell r="F894" t="str">
            <v>01.0094</v>
          </cell>
          <cell r="G894">
            <v>43899</v>
          </cell>
          <cell r="H894" t="str">
            <v>01.0094</v>
          </cell>
          <cell r="I894" t="str">
            <v>לוונשטיין טכנולוגיות</v>
          </cell>
          <cell r="J894">
            <v>0.51</v>
          </cell>
          <cell r="K894" t="str">
            <v>₪</v>
          </cell>
          <cell r="L894">
            <v>1000</v>
          </cell>
          <cell r="M894" t="str">
            <v>יח'</v>
          </cell>
          <cell r="N894">
            <v>510</v>
          </cell>
        </row>
        <row r="895">
          <cell r="B895" t="str">
            <v xml:space="preserve"> Helicoil M3*1d - Free</v>
          </cell>
          <cell r="C895">
            <v>25717</v>
          </cell>
          <cell r="D895">
            <v>2</v>
          </cell>
          <cell r="E895" t="str">
            <v>קשיח</v>
          </cell>
          <cell r="F895" t="str">
            <v>01.0094</v>
          </cell>
          <cell r="G895">
            <v>43887</v>
          </cell>
          <cell r="H895" t="str">
            <v>01.0094</v>
          </cell>
          <cell r="I895" t="str">
            <v>דר טכנולוגיות בע"מ</v>
          </cell>
          <cell r="J895">
            <v>0.53</v>
          </cell>
          <cell r="K895" t="str">
            <v>₪</v>
          </cell>
          <cell r="M895" t="str">
            <v>יח'</v>
          </cell>
        </row>
        <row r="896">
          <cell r="B896" t="str">
            <v xml:space="preserve"> Helicoil M3*1d - Free</v>
          </cell>
          <cell r="C896">
            <v>24589</v>
          </cell>
          <cell r="D896">
            <v>2</v>
          </cell>
          <cell r="E896" t="str">
            <v>קשיח</v>
          </cell>
          <cell r="F896" t="str">
            <v>01.0094</v>
          </cell>
          <cell r="G896">
            <v>43705</v>
          </cell>
          <cell r="H896" t="str">
            <v>01.0094</v>
          </cell>
          <cell r="I896" t="str">
            <v>לוונשטיין טכנולוגיות</v>
          </cell>
          <cell r="J896">
            <v>0.53</v>
          </cell>
          <cell r="K896" t="str">
            <v>₪</v>
          </cell>
          <cell r="L896">
            <v>1000</v>
          </cell>
          <cell r="M896" t="str">
            <v>יח'</v>
          </cell>
          <cell r="N896">
            <v>530</v>
          </cell>
        </row>
        <row r="897">
          <cell r="B897" t="str">
            <v>M3X3S</v>
          </cell>
          <cell r="C897">
            <v>2551</v>
          </cell>
          <cell r="D897">
            <v>1</v>
          </cell>
          <cell r="E897" t="str">
            <v>קשיח</v>
          </cell>
          <cell r="F897" t="str">
            <v>01.0094</v>
          </cell>
          <cell r="G897">
            <v>41389</v>
          </cell>
          <cell r="H897" t="str">
            <v>01.0094</v>
          </cell>
          <cell r="I897" t="str">
            <v>לוונשטיין טכנולוגיות</v>
          </cell>
          <cell r="J897">
            <v>0.5</v>
          </cell>
          <cell r="K897" t="str">
            <v>₪</v>
          </cell>
          <cell r="L897">
            <v>1500</v>
          </cell>
          <cell r="M897" t="str">
            <v>יח'</v>
          </cell>
          <cell r="N897">
            <v>750</v>
          </cell>
        </row>
        <row r="898">
          <cell r="B898" t="str">
            <v>M3X4.5S</v>
          </cell>
          <cell r="C898">
            <v>2551</v>
          </cell>
          <cell r="D898">
            <v>3</v>
          </cell>
          <cell r="E898" t="str">
            <v>קשיח</v>
          </cell>
          <cell r="F898" t="str">
            <v>01.0096</v>
          </cell>
          <cell r="G898">
            <v>41389</v>
          </cell>
          <cell r="H898" t="str">
            <v>01.0096</v>
          </cell>
          <cell r="I898" t="str">
            <v>לוונשטיין טכנולוגיות</v>
          </cell>
          <cell r="J898">
            <v>0.79</v>
          </cell>
          <cell r="K898" t="str">
            <v>₪</v>
          </cell>
          <cell r="L898">
            <v>300</v>
          </cell>
          <cell r="M898" t="str">
            <v>יח'</v>
          </cell>
          <cell r="N898">
            <v>237</v>
          </cell>
        </row>
        <row r="899">
          <cell r="B899" t="str">
            <v>M3X6S</v>
          </cell>
          <cell r="C899">
            <v>2551</v>
          </cell>
          <cell r="D899">
            <v>5</v>
          </cell>
          <cell r="E899" t="str">
            <v>קשיח</v>
          </cell>
          <cell r="F899" t="str">
            <v>01.0098</v>
          </cell>
          <cell r="G899">
            <v>41389</v>
          </cell>
          <cell r="H899" t="str">
            <v>01.0098</v>
          </cell>
          <cell r="I899" t="str">
            <v>לוונשטיין טכנולוגיות</v>
          </cell>
          <cell r="J899">
            <v>1.0900000000000001</v>
          </cell>
          <cell r="K899" t="str">
            <v>₪</v>
          </cell>
          <cell r="L899">
            <v>150</v>
          </cell>
          <cell r="M899" t="str">
            <v>יח'</v>
          </cell>
          <cell r="N899">
            <v>163.5</v>
          </cell>
        </row>
        <row r="900">
          <cell r="B900" t="str">
            <v>MIL-P-11414E; Red Oxide Primer</v>
          </cell>
          <cell r="C900">
            <v>41010</v>
          </cell>
          <cell r="D900">
            <v>1</v>
          </cell>
          <cell r="E900" t="str">
            <v>קשיח</v>
          </cell>
          <cell r="F900" t="str">
            <v>01.0101</v>
          </cell>
          <cell r="G900">
            <v>45804</v>
          </cell>
          <cell r="H900" t="str">
            <v>01.0101</v>
          </cell>
          <cell r="I900" t="str">
            <v>לשם טכנולוגיות תעשיי</v>
          </cell>
          <cell r="J900">
            <v>618.7998</v>
          </cell>
          <cell r="K900" t="str">
            <v>₪</v>
          </cell>
          <cell r="L900">
            <v>1</v>
          </cell>
          <cell r="M900" t="str">
            <v>יח'</v>
          </cell>
          <cell r="N900">
            <v>618.7998</v>
          </cell>
        </row>
        <row r="901">
          <cell r="B901" t="str">
            <v>MIL-P-11414E; Red Oxide Primer</v>
          </cell>
          <cell r="C901">
            <v>36601</v>
          </cell>
          <cell r="D901">
            <v>1</v>
          </cell>
          <cell r="E901" t="str">
            <v>קשיח</v>
          </cell>
          <cell r="F901" t="str">
            <v>01.0101</v>
          </cell>
          <cell r="G901">
            <v>45358</v>
          </cell>
          <cell r="H901" t="str">
            <v>01.0101</v>
          </cell>
          <cell r="I901" t="str">
            <v>לשם טכנולוגיות תעשיי</v>
          </cell>
          <cell r="J901">
            <v>618.7998</v>
          </cell>
          <cell r="K901" t="str">
            <v>₪</v>
          </cell>
          <cell r="L901">
            <v>1</v>
          </cell>
          <cell r="M901" t="str">
            <v>יח'</v>
          </cell>
          <cell r="N901">
            <v>618.7998</v>
          </cell>
        </row>
        <row r="902">
          <cell r="B902" t="str">
            <v>MIL-P-11414E; Red Oxide Primer</v>
          </cell>
          <cell r="C902">
            <v>35361</v>
          </cell>
          <cell r="D902">
            <v>2</v>
          </cell>
          <cell r="E902" t="str">
            <v>קשיח</v>
          </cell>
          <cell r="F902" t="str">
            <v>01.0101</v>
          </cell>
          <cell r="G902">
            <v>45221</v>
          </cell>
          <cell r="H902" t="str">
            <v>01.0101</v>
          </cell>
          <cell r="I902" t="str">
            <v>לשם טכנולוגיות תעשיי</v>
          </cell>
          <cell r="J902">
            <v>615.88409999999999</v>
          </cell>
          <cell r="K902" t="str">
            <v>₪</v>
          </cell>
          <cell r="L902">
            <v>1</v>
          </cell>
          <cell r="M902" t="str">
            <v>יח'</v>
          </cell>
          <cell r="N902">
            <v>615.88409999999999</v>
          </cell>
        </row>
        <row r="903">
          <cell r="B903" t="str">
            <v>MIL-P-11414E; Red Oxide Primer</v>
          </cell>
          <cell r="C903">
            <v>32431</v>
          </cell>
          <cell r="D903">
            <v>1</v>
          </cell>
          <cell r="E903" t="str">
            <v>קשיח</v>
          </cell>
          <cell r="F903" t="str">
            <v>01.0101</v>
          </cell>
          <cell r="G903">
            <v>44819</v>
          </cell>
          <cell r="H903" t="str">
            <v>01.0101</v>
          </cell>
          <cell r="I903" t="str">
            <v>לשם טכנולוגיות תעשיי</v>
          </cell>
          <cell r="J903">
            <v>612.84190000000001</v>
          </cell>
          <cell r="K903" t="str">
            <v>₪</v>
          </cell>
          <cell r="L903">
            <v>1</v>
          </cell>
          <cell r="M903" t="str">
            <v>יח'</v>
          </cell>
          <cell r="N903">
            <v>612.84190000000001</v>
          </cell>
        </row>
        <row r="904">
          <cell r="B904" t="str">
            <v>MIL-P-11414E; Red Oxide Primer</v>
          </cell>
          <cell r="C904">
            <v>29572</v>
          </cell>
          <cell r="D904">
            <v>2</v>
          </cell>
          <cell r="E904" t="str">
            <v>קשיח</v>
          </cell>
          <cell r="F904" t="str">
            <v>01.0101</v>
          </cell>
          <cell r="G904">
            <v>44423</v>
          </cell>
          <cell r="H904" t="str">
            <v>01.0101</v>
          </cell>
          <cell r="I904" t="str">
            <v>לשם טכנולוגיות תעשיי</v>
          </cell>
          <cell r="J904">
            <v>600</v>
          </cell>
          <cell r="K904" t="str">
            <v>₪</v>
          </cell>
          <cell r="L904">
            <v>1</v>
          </cell>
          <cell r="M904" t="str">
            <v>יח'</v>
          </cell>
          <cell r="N904">
            <v>600</v>
          </cell>
        </row>
        <row r="905">
          <cell r="B905" t="str">
            <v>MIL-P-11414E; Red Oxide Primer</v>
          </cell>
          <cell r="C905">
            <v>26093</v>
          </cell>
          <cell r="D905">
            <v>1</v>
          </cell>
          <cell r="E905" t="str">
            <v>קשיח</v>
          </cell>
          <cell r="F905" t="str">
            <v>01.0101</v>
          </cell>
          <cell r="G905">
            <v>43956</v>
          </cell>
          <cell r="H905" t="str">
            <v>01.0101</v>
          </cell>
          <cell r="I905" t="str">
            <v>לשם טכנולוגיות תעשיי</v>
          </cell>
          <cell r="J905">
            <v>585</v>
          </cell>
          <cell r="K905" t="str">
            <v>₪</v>
          </cell>
          <cell r="L905">
            <v>1</v>
          </cell>
          <cell r="M905" t="str">
            <v>יח'</v>
          </cell>
          <cell r="N905">
            <v>585</v>
          </cell>
        </row>
        <row r="906">
          <cell r="B906" t="str">
            <v>MIL-P-11414E; Red Oxide Primer</v>
          </cell>
          <cell r="C906">
            <v>22862</v>
          </cell>
          <cell r="D906">
            <v>1</v>
          </cell>
          <cell r="E906" t="str">
            <v>קשיח</v>
          </cell>
          <cell r="F906" t="str">
            <v>01.0101</v>
          </cell>
          <cell r="G906">
            <v>43501</v>
          </cell>
          <cell r="H906" t="str">
            <v>01.0101</v>
          </cell>
          <cell r="I906" t="str">
            <v>לשם טכנולוגיות תעשיי</v>
          </cell>
          <cell r="J906">
            <v>584.03369999999995</v>
          </cell>
          <cell r="K906" t="str">
            <v>₪</v>
          </cell>
          <cell r="L906">
            <v>1</v>
          </cell>
          <cell r="M906" t="str">
            <v>יח'</v>
          </cell>
          <cell r="N906">
            <v>584.03369999999995</v>
          </cell>
        </row>
        <row r="907">
          <cell r="B907" t="str">
            <v>MIL-P-11414E; Red Oxide Primer</v>
          </cell>
          <cell r="C907">
            <v>8648</v>
          </cell>
          <cell r="D907">
            <v>1</v>
          </cell>
          <cell r="E907" t="str">
            <v>קשיח</v>
          </cell>
          <cell r="F907" t="str">
            <v>01.0101</v>
          </cell>
          <cell r="G907">
            <v>42138</v>
          </cell>
          <cell r="H907" t="str">
            <v>01.0101</v>
          </cell>
          <cell r="I907" t="str">
            <v>לשם טכנולוגיות תעשיי</v>
          </cell>
          <cell r="J907">
            <v>0</v>
          </cell>
          <cell r="K907" t="str">
            <v>₪</v>
          </cell>
          <cell r="M907" t="str">
            <v>יח'</v>
          </cell>
        </row>
        <row r="908">
          <cell r="B908" t="str">
            <v>MS21209F1-15
 INSERT, HELICAL, 10-32</v>
          </cell>
          <cell r="C908">
            <v>40548</v>
          </cell>
          <cell r="E908" t="str">
            <v>קשיח</v>
          </cell>
          <cell r="F908" t="str">
            <v>01.0103</v>
          </cell>
          <cell r="G908">
            <v>45763</v>
          </cell>
          <cell r="H908" t="str">
            <v>01.0103</v>
          </cell>
          <cell r="I908" t="str">
            <v>דר טכנולוגיות בע"מ</v>
          </cell>
          <cell r="J908">
            <v>0.6</v>
          </cell>
          <cell r="K908" t="str">
            <v>₪</v>
          </cell>
          <cell r="L908">
            <v>100</v>
          </cell>
          <cell r="M908" t="str">
            <v>יח'</v>
          </cell>
          <cell r="N908">
            <v>60</v>
          </cell>
        </row>
        <row r="909">
          <cell r="B909" t="str">
            <v>MS21209F1-15
 INSERT, HELICAL, 10-32</v>
          </cell>
          <cell r="C909">
            <v>38878</v>
          </cell>
          <cell r="D909">
            <v>2</v>
          </cell>
          <cell r="E909" t="str">
            <v>קשיח</v>
          </cell>
          <cell r="F909" t="str">
            <v>01.0103</v>
          </cell>
          <cell r="G909">
            <v>45616</v>
          </cell>
          <cell r="H909" t="str">
            <v>01.0103</v>
          </cell>
          <cell r="I909" t="str">
            <v>לוונשטיין טכנולוגיות בע"מ</v>
          </cell>
          <cell r="J909">
            <v>0.6</v>
          </cell>
          <cell r="K909" t="str">
            <v>₪</v>
          </cell>
          <cell r="L909">
            <v>2000</v>
          </cell>
          <cell r="M909" t="str">
            <v>יח'</v>
          </cell>
          <cell r="N909">
            <v>1200</v>
          </cell>
        </row>
        <row r="910">
          <cell r="B910" t="str">
            <v>MS21209F1-15
 INSERT, HELICAL, 10-32</v>
          </cell>
          <cell r="C910">
            <v>36410</v>
          </cell>
          <cell r="D910">
            <v>1</v>
          </cell>
          <cell r="E910" t="str">
            <v>קשיח</v>
          </cell>
          <cell r="F910" t="str">
            <v>01.0103</v>
          </cell>
          <cell r="G910">
            <v>45335</v>
          </cell>
          <cell r="H910" t="str">
            <v>01.0103</v>
          </cell>
          <cell r="I910" t="str">
            <v>לוונשטיין טכנולוגיות בע"מ</v>
          </cell>
          <cell r="J910">
            <v>0.6</v>
          </cell>
          <cell r="K910" t="str">
            <v>₪</v>
          </cell>
          <cell r="L910">
            <v>1000</v>
          </cell>
          <cell r="M910" t="str">
            <v>יח'</v>
          </cell>
          <cell r="N910">
            <v>600</v>
          </cell>
        </row>
        <row r="911">
          <cell r="B911" t="str">
            <v>MS21209F1-15
 INSERT, HELICAL, 1/4-28 X 1D</v>
          </cell>
          <cell r="C911">
            <v>35191</v>
          </cell>
          <cell r="D911">
            <v>2</v>
          </cell>
          <cell r="E911" t="str">
            <v>קשיח</v>
          </cell>
          <cell r="F911" t="str">
            <v>01.0103</v>
          </cell>
          <cell r="G911">
            <v>45197</v>
          </cell>
          <cell r="H911" t="str">
            <v>01.0103</v>
          </cell>
          <cell r="I911" t="str">
            <v>לוונשטיין טכנולוגיות בע"מ</v>
          </cell>
          <cell r="J911">
            <v>0.6</v>
          </cell>
          <cell r="K911" t="str">
            <v>₪</v>
          </cell>
          <cell r="L911">
            <v>1000</v>
          </cell>
          <cell r="M911" t="str">
            <v>יח'</v>
          </cell>
          <cell r="N911">
            <v>600</v>
          </cell>
        </row>
        <row r="912">
          <cell r="B912" t="str">
            <v>MS21209F1-15
 INSERT, HELICAL, 1/4-28 X 1D</v>
          </cell>
          <cell r="C912">
            <v>34304</v>
          </cell>
          <cell r="D912">
            <v>4</v>
          </cell>
          <cell r="E912" t="str">
            <v>קשיח</v>
          </cell>
          <cell r="F912" t="str">
            <v>01.0103</v>
          </cell>
          <cell r="G912">
            <v>45102</v>
          </cell>
          <cell r="H912" t="str">
            <v>01.0103</v>
          </cell>
          <cell r="I912" t="str">
            <v>לוונשטיין טכנולוגיות בע"מ</v>
          </cell>
          <cell r="J912">
            <v>0.6</v>
          </cell>
          <cell r="K912" t="str">
            <v>₪</v>
          </cell>
          <cell r="L912">
            <v>1000</v>
          </cell>
          <cell r="M912" t="str">
            <v>יח'</v>
          </cell>
          <cell r="N912">
            <v>600</v>
          </cell>
        </row>
        <row r="913">
          <cell r="B913" t="str">
            <v>MS21209F4-10 
 INSERT, HELICAL, 1/4-28 X 1D</v>
          </cell>
          <cell r="C913">
            <v>28340</v>
          </cell>
          <cell r="D913">
            <v>2</v>
          </cell>
          <cell r="E913" t="str">
            <v>קשיח</v>
          </cell>
          <cell r="F913" t="str">
            <v>01.0103</v>
          </cell>
          <cell r="G913">
            <v>44259</v>
          </cell>
          <cell r="H913" t="str">
            <v>01.0103</v>
          </cell>
          <cell r="I913" t="str">
            <v>דר טכנולוגיות בע"מ</v>
          </cell>
          <cell r="J913">
            <v>0.6</v>
          </cell>
          <cell r="K913" t="str">
            <v>₪</v>
          </cell>
          <cell r="L913">
            <v>500</v>
          </cell>
          <cell r="M913" t="str">
            <v>יח'</v>
          </cell>
          <cell r="N913">
            <v>300</v>
          </cell>
        </row>
        <row r="914">
          <cell r="B914" t="str">
            <v>MS21209F4-10 
 INSERT, HELICAL, 1/4-28 X 1D</v>
          </cell>
          <cell r="C914">
            <v>23853</v>
          </cell>
          <cell r="D914">
            <v>1</v>
          </cell>
          <cell r="E914" t="str">
            <v>קשיח</v>
          </cell>
          <cell r="F914" t="str">
            <v>01.0103</v>
          </cell>
          <cell r="G914">
            <v>43614</v>
          </cell>
          <cell r="H914" t="str">
            <v>01.0103</v>
          </cell>
          <cell r="I914" t="str">
            <v>ברמיל בע"מ</v>
          </cell>
          <cell r="J914">
            <v>0.75</v>
          </cell>
          <cell r="K914" t="str">
            <v>₪</v>
          </cell>
          <cell r="L914">
            <v>100</v>
          </cell>
          <cell r="M914" t="str">
            <v>יח'</v>
          </cell>
          <cell r="N914">
            <v>75</v>
          </cell>
        </row>
        <row r="915">
          <cell r="B915" t="str">
            <v>MS21209F4-10 
 INSERT, HELICAL, 1/4-28 X 1D</v>
          </cell>
          <cell r="C915">
            <v>18625</v>
          </cell>
          <cell r="D915">
            <v>5</v>
          </cell>
          <cell r="E915" t="str">
            <v>קשיח</v>
          </cell>
          <cell r="F915" t="str">
            <v>01.0103</v>
          </cell>
          <cell r="G915">
            <v>43104</v>
          </cell>
          <cell r="H915" t="str">
            <v>01.0103</v>
          </cell>
          <cell r="I915" t="str">
            <v>גין מהנדסים בע"מ</v>
          </cell>
          <cell r="J915">
            <v>1.4499</v>
          </cell>
          <cell r="K915" t="str">
            <v>₪</v>
          </cell>
          <cell r="M915" t="str">
            <v>יח'</v>
          </cell>
        </row>
        <row r="916">
          <cell r="B916" t="str">
            <v>MS21209F410 
 INSERT, HELICAL, 1/4-28 X 1D</v>
          </cell>
          <cell r="C916">
            <v>3163</v>
          </cell>
          <cell r="D916">
            <v>1</v>
          </cell>
          <cell r="E916" t="str">
            <v>קשיח</v>
          </cell>
          <cell r="F916" t="str">
            <v>01.0103</v>
          </cell>
          <cell r="G916">
            <v>41479</v>
          </cell>
          <cell r="H916" t="str">
            <v>01.0103</v>
          </cell>
          <cell r="I916" t="str">
            <v>לוונשטיין טכנולוגיות</v>
          </cell>
          <cell r="J916">
            <v>0</v>
          </cell>
          <cell r="K916" t="str">
            <v>₪</v>
          </cell>
          <cell r="M916" t="str">
            <v>יח'</v>
          </cell>
        </row>
        <row r="917">
          <cell r="B917" t="str">
            <v>MS21209F4-10</v>
          </cell>
          <cell r="C917">
            <v>1407</v>
          </cell>
          <cell r="D917">
            <v>1</v>
          </cell>
          <cell r="E917" t="str">
            <v>קשיח</v>
          </cell>
          <cell r="F917" t="str">
            <v>01.0103</v>
          </cell>
          <cell r="G917">
            <v>41252</v>
          </cell>
          <cell r="H917" t="str">
            <v>01.0103</v>
          </cell>
          <cell r="I917" t="str">
            <v>לוונשטיין טכנולוגיות</v>
          </cell>
          <cell r="J917">
            <v>1.45</v>
          </cell>
          <cell r="K917" t="str">
            <v>₪</v>
          </cell>
          <cell r="L917">
            <v>100</v>
          </cell>
          <cell r="M917" t="str">
            <v>יח'</v>
          </cell>
          <cell r="N917">
            <v>145</v>
          </cell>
        </row>
        <row r="918">
          <cell r="B918" t="str">
            <v>MS122156 INSERT,HELICAL, 4-40 X 2D</v>
          </cell>
          <cell r="C918">
            <v>26798</v>
          </cell>
          <cell r="D918">
            <v>1</v>
          </cell>
          <cell r="E918" t="str">
            <v>קשיח</v>
          </cell>
          <cell r="F918" t="str">
            <v>01.0104</v>
          </cell>
          <cell r="G918">
            <v>44046</v>
          </cell>
          <cell r="H918" t="str">
            <v>01.0104</v>
          </cell>
          <cell r="I918" t="str">
            <v>לוונשטיין טכנולוגיות</v>
          </cell>
          <cell r="J918">
            <v>0.59</v>
          </cell>
          <cell r="K918" t="str">
            <v>₪</v>
          </cell>
          <cell r="L918">
            <v>1000</v>
          </cell>
          <cell r="M918" t="str">
            <v>יח'</v>
          </cell>
          <cell r="N918">
            <v>590</v>
          </cell>
        </row>
        <row r="919">
          <cell r="B919" t="str">
            <v>MS21209C0215 INSERT, HELICAL, 2-56 X 1.5D</v>
          </cell>
          <cell r="C919">
            <v>44841</v>
          </cell>
          <cell r="D919">
            <v>1</v>
          </cell>
          <cell r="E919" t="str">
            <v>קשיח</v>
          </cell>
          <cell r="F919" t="str">
            <v>01.0107</v>
          </cell>
          <cell r="G919">
            <v>46068</v>
          </cell>
          <cell r="H919" t="str">
            <v>01.0107</v>
          </cell>
          <cell r="I919" t="str">
            <v>דר טכנולוגיות בע"מ</v>
          </cell>
          <cell r="J919">
            <v>0.42</v>
          </cell>
          <cell r="K919" t="str">
            <v>₪</v>
          </cell>
          <cell r="L919">
            <v>1000</v>
          </cell>
          <cell r="M919" t="str">
            <v>יח'</v>
          </cell>
          <cell r="N919">
            <v>420</v>
          </cell>
        </row>
        <row r="920">
          <cell r="B920" t="str">
            <v>MS21209C0215 INSERT, HELICAL, 2-56 X 1.5D</v>
          </cell>
          <cell r="C920">
            <v>44767</v>
          </cell>
          <cell r="D920">
            <v>1</v>
          </cell>
          <cell r="E920" t="str">
            <v>קשיח</v>
          </cell>
          <cell r="F920" t="str">
            <v>01.0107</v>
          </cell>
          <cell r="G920">
            <v>46061</v>
          </cell>
          <cell r="H920" t="str">
            <v>01.0107</v>
          </cell>
          <cell r="I920" t="str">
            <v>דר טכנולוגיות בע"מ</v>
          </cell>
          <cell r="J920">
            <v>0.42</v>
          </cell>
          <cell r="K920" t="str">
            <v>₪</v>
          </cell>
          <cell r="L920">
            <v>3000</v>
          </cell>
          <cell r="M920" t="str">
            <v>יח'</v>
          </cell>
          <cell r="N920">
            <v>1260</v>
          </cell>
        </row>
        <row r="921">
          <cell r="B921" t="str">
            <v>MS21209C0215 INSERT, HELICAL, 2-56 X 1.5D</v>
          </cell>
          <cell r="C921">
            <v>42463</v>
          </cell>
          <cell r="D921">
            <v>1</v>
          </cell>
          <cell r="E921" t="str">
            <v>קשיח</v>
          </cell>
          <cell r="F921" t="str">
            <v>01.0107</v>
          </cell>
          <cell r="G921">
            <v>45957</v>
          </cell>
          <cell r="H921" t="str">
            <v>01.0107</v>
          </cell>
          <cell r="I921" t="str">
            <v>דר טכנולוגיות בע"מ</v>
          </cell>
          <cell r="J921">
            <v>0.42</v>
          </cell>
          <cell r="K921" t="str">
            <v>₪</v>
          </cell>
          <cell r="L921">
            <v>3000</v>
          </cell>
          <cell r="M921" t="str">
            <v>יח'</v>
          </cell>
          <cell r="N921">
            <v>1260</v>
          </cell>
        </row>
        <row r="922">
          <cell r="B922" t="str">
            <v>MS21209C0215 INSERT, HELICAL, 2-56 X 1.5D</v>
          </cell>
          <cell r="C922">
            <v>41127</v>
          </cell>
          <cell r="D922">
            <v>1</v>
          </cell>
          <cell r="E922" t="str">
            <v>קשיח</v>
          </cell>
          <cell r="F922" t="str">
            <v>01.0107</v>
          </cell>
          <cell r="G922">
            <v>45818</v>
          </cell>
          <cell r="H922" t="str">
            <v>01.0107</v>
          </cell>
          <cell r="I922" t="str">
            <v>דר טכנולוגיות בע"מ</v>
          </cell>
          <cell r="J922">
            <v>0.42</v>
          </cell>
          <cell r="K922" t="str">
            <v>₪</v>
          </cell>
          <cell r="L922">
            <v>1000</v>
          </cell>
          <cell r="M922" t="str">
            <v>יח'</v>
          </cell>
          <cell r="N922">
            <v>420</v>
          </cell>
        </row>
        <row r="923">
          <cell r="B923" t="str">
            <v>MS21209C0215 INSERT, HELICAL, 2-56 X 1.5D</v>
          </cell>
          <cell r="C923">
            <v>40492</v>
          </cell>
          <cell r="D923">
            <v>1</v>
          </cell>
          <cell r="E923" t="str">
            <v>קשיח</v>
          </cell>
          <cell r="F923" t="str">
            <v>01.0107</v>
          </cell>
          <cell r="G923">
            <v>45757</v>
          </cell>
          <cell r="H923" t="str">
            <v>01.0107</v>
          </cell>
          <cell r="I923" t="str">
            <v>דר טכנולוגיות בע"מ</v>
          </cell>
          <cell r="J923">
            <v>0.42</v>
          </cell>
          <cell r="K923" t="str">
            <v>₪</v>
          </cell>
          <cell r="L923">
            <v>1000</v>
          </cell>
          <cell r="M923" t="str">
            <v>יח'</v>
          </cell>
          <cell r="N923">
            <v>420</v>
          </cell>
        </row>
        <row r="924">
          <cell r="B924" t="str">
            <v>MS21209C0215 INSERT, HELICAL, 2-56 X 1.5D</v>
          </cell>
          <cell r="C924">
            <v>40015</v>
          </cell>
          <cell r="D924">
            <v>1</v>
          </cell>
          <cell r="E924" t="str">
            <v>קשיח</v>
          </cell>
          <cell r="F924" t="str">
            <v>01.0107</v>
          </cell>
          <cell r="G924">
            <v>45718</v>
          </cell>
          <cell r="H924" t="str">
            <v>01.0107</v>
          </cell>
          <cell r="I924" t="str">
            <v>דר טכנולוגיות בע"מ</v>
          </cell>
          <cell r="J924">
            <v>0.42</v>
          </cell>
          <cell r="K924" t="str">
            <v>₪</v>
          </cell>
          <cell r="L924">
            <v>1000</v>
          </cell>
          <cell r="M924" t="str">
            <v>יח'</v>
          </cell>
          <cell r="N924">
            <v>420</v>
          </cell>
        </row>
        <row r="925">
          <cell r="B925" t="str">
            <v>MS21209C0215 INSERT, HELICAL, 2-56 X 1.5D</v>
          </cell>
          <cell r="C925">
            <v>39074</v>
          </cell>
          <cell r="D925">
            <v>1</v>
          </cell>
          <cell r="E925" t="str">
            <v>קשיח</v>
          </cell>
          <cell r="F925" t="str">
            <v>01.0107</v>
          </cell>
          <cell r="G925">
            <v>45634</v>
          </cell>
          <cell r="H925" t="str">
            <v>01.0107</v>
          </cell>
          <cell r="I925" t="str">
            <v>לוונשטיין טכנולוגיות בע"מ</v>
          </cell>
          <cell r="J925">
            <v>0.72</v>
          </cell>
          <cell r="K925" t="str">
            <v>₪</v>
          </cell>
          <cell r="L925">
            <v>1000</v>
          </cell>
          <cell r="M925" t="str">
            <v>יח'</v>
          </cell>
          <cell r="N925">
            <v>720</v>
          </cell>
        </row>
        <row r="926">
          <cell r="B926" t="str">
            <v>MS21209C0215 INSERT, HELICAL, 2-56 X 1.5D</v>
          </cell>
          <cell r="C926">
            <v>38835</v>
          </cell>
          <cell r="D926">
            <v>1</v>
          </cell>
          <cell r="E926" t="str">
            <v>קשיח</v>
          </cell>
          <cell r="F926" t="str">
            <v>01.0107</v>
          </cell>
          <cell r="G926">
            <v>45614</v>
          </cell>
          <cell r="H926" t="str">
            <v>01.0107</v>
          </cell>
          <cell r="I926" t="str">
            <v>לוונשטיין טכנולוגיות בע"מ</v>
          </cell>
          <cell r="J926">
            <v>0.72</v>
          </cell>
          <cell r="K926" t="str">
            <v>₪</v>
          </cell>
          <cell r="L926">
            <v>2000</v>
          </cell>
          <cell r="M926" t="str">
            <v>יח'</v>
          </cell>
          <cell r="N926">
            <v>1440</v>
          </cell>
        </row>
        <row r="927">
          <cell r="B927" t="str">
            <v>MS21209C0215 INSERT, HELICAL, 2-56 X 1.5D</v>
          </cell>
          <cell r="C927">
            <v>36348</v>
          </cell>
          <cell r="D927">
            <v>4</v>
          </cell>
          <cell r="E927" t="str">
            <v>קשיח</v>
          </cell>
          <cell r="F927" t="str">
            <v>01.0107</v>
          </cell>
          <cell r="G927">
            <v>45328</v>
          </cell>
          <cell r="H927" t="str">
            <v>01.0107</v>
          </cell>
          <cell r="I927" t="str">
            <v>לוונשטיין טכנולוגיות בע"מ</v>
          </cell>
          <cell r="J927">
            <v>0.72</v>
          </cell>
          <cell r="K927" t="str">
            <v>₪</v>
          </cell>
          <cell r="L927">
            <v>2000</v>
          </cell>
          <cell r="M927" t="str">
            <v>יח'</v>
          </cell>
          <cell r="N927">
            <v>1440</v>
          </cell>
        </row>
        <row r="928">
          <cell r="B928" t="str">
            <v>MS21209C0215 INSERT, HELICAL, 2-56 X 1.5D</v>
          </cell>
          <cell r="C928">
            <v>35364</v>
          </cell>
          <cell r="D928">
            <v>1</v>
          </cell>
          <cell r="E928" t="str">
            <v>קשיח</v>
          </cell>
          <cell r="F928" t="str">
            <v>01.0107</v>
          </cell>
          <cell r="G928">
            <v>45221</v>
          </cell>
          <cell r="H928" t="str">
            <v>01.0107</v>
          </cell>
          <cell r="I928" t="str">
            <v>לוונשטיין טכנולוגיות בע"מ</v>
          </cell>
          <cell r="J928">
            <v>0.72</v>
          </cell>
          <cell r="K928" t="str">
            <v>₪</v>
          </cell>
          <cell r="L928">
            <v>2000</v>
          </cell>
          <cell r="M928" t="str">
            <v>יח'</v>
          </cell>
          <cell r="N928">
            <v>1440</v>
          </cell>
        </row>
        <row r="929">
          <cell r="B929" t="str">
            <v>MS21209C0215 INSERT, HELICAL, 2-56 X 1.5D</v>
          </cell>
          <cell r="C929">
            <v>35338</v>
          </cell>
          <cell r="D929">
            <v>4</v>
          </cell>
          <cell r="E929" t="str">
            <v>קשיח</v>
          </cell>
          <cell r="F929" t="str">
            <v>01.0107</v>
          </cell>
          <cell r="G929">
            <v>45216</v>
          </cell>
          <cell r="H929" t="str">
            <v>01.0107</v>
          </cell>
          <cell r="I929" t="str">
            <v>לוונשטיין טכנולוגיות בע"מ</v>
          </cell>
          <cell r="J929">
            <v>0.72</v>
          </cell>
          <cell r="K929" t="str">
            <v>₪</v>
          </cell>
          <cell r="L929">
            <v>1000</v>
          </cell>
          <cell r="M929" t="str">
            <v>יח'</v>
          </cell>
          <cell r="N929">
            <v>720</v>
          </cell>
        </row>
        <row r="930">
          <cell r="B930" t="str">
            <v>MS21209C0215 INSERT, HELICAL, 2-56 X 1.5D</v>
          </cell>
          <cell r="C930">
            <v>35081</v>
          </cell>
          <cell r="D930">
            <v>3</v>
          </cell>
          <cell r="E930" t="str">
            <v>קשיח</v>
          </cell>
          <cell r="F930" t="str">
            <v>01.0107</v>
          </cell>
          <cell r="G930">
            <v>45180</v>
          </cell>
          <cell r="H930" t="str">
            <v>01.0107</v>
          </cell>
          <cell r="I930" t="str">
            <v>לוונשטיין טכנולוגיות בע"מ</v>
          </cell>
          <cell r="J930">
            <v>0.72</v>
          </cell>
          <cell r="K930" t="str">
            <v>₪</v>
          </cell>
          <cell r="L930">
            <v>1000</v>
          </cell>
          <cell r="M930" t="str">
            <v>יח'</v>
          </cell>
          <cell r="N930">
            <v>720</v>
          </cell>
        </row>
        <row r="931">
          <cell r="B931" t="str">
            <v>MS21209C0215 INSERT, HELICAL, 2-56 X 1.5D</v>
          </cell>
          <cell r="C931">
            <v>34076</v>
          </cell>
          <cell r="D931">
            <v>4</v>
          </cell>
          <cell r="E931" t="str">
            <v>קשיח</v>
          </cell>
          <cell r="F931" t="str">
            <v>01.0107</v>
          </cell>
          <cell r="G931">
            <v>45075</v>
          </cell>
          <cell r="H931" t="str">
            <v>01.0107</v>
          </cell>
          <cell r="I931" t="str">
            <v>לוונשטיין טכנולוגיות בע"מ</v>
          </cell>
          <cell r="J931">
            <v>0.72</v>
          </cell>
          <cell r="K931" t="str">
            <v>₪</v>
          </cell>
          <cell r="L931">
            <v>2000</v>
          </cell>
          <cell r="M931" t="str">
            <v>יח'</v>
          </cell>
          <cell r="N931">
            <v>1440</v>
          </cell>
        </row>
        <row r="932">
          <cell r="B932" t="str">
            <v>MS21209C0215 INSERT, HELICAL, 2-56 X 1.5D</v>
          </cell>
          <cell r="C932">
            <v>28889</v>
          </cell>
          <cell r="D932">
            <v>2</v>
          </cell>
          <cell r="E932" t="str">
            <v>קשיח</v>
          </cell>
          <cell r="F932" t="str">
            <v>01.0107</v>
          </cell>
          <cell r="G932">
            <v>44339</v>
          </cell>
          <cell r="H932" t="str">
            <v>01.0107</v>
          </cell>
          <cell r="I932" t="str">
            <v>דר טכנולוגיות בע"מ</v>
          </cell>
          <cell r="J932">
            <v>0.48</v>
          </cell>
          <cell r="K932" t="str">
            <v>₪</v>
          </cell>
          <cell r="L932">
            <v>1000</v>
          </cell>
          <cell r="M932" t="str">
            <v>יח'</v>
          </cell>
          <cell r="N932">
            <v>480</v>
          </cell>
        </row>
        <row r="933">
          <cell r="B933" t="str">
            <v>MS21209C0215 INSERT, HELICAL, 2-56 X 1.5D</v>
          </cell>
          <cell r="C933">
            <v>24649</v>
          </cell>
          <cell r="D933">
            <v>1</v>
          </cell>
          <cell r="E933" t="str">
            <v>קשיח</v>
          </cell>
          <cell r="F933" t="str">
            <v>01.0107</v>
          </cell>
          <cell r="G933">
            <v>43717</v>
          </cell>
          <cell r="H933" t="str">
            <v>01.0107</v>
          </cell>
          <cell r="I933" t="str">
            <v>דר טכנולוגיות בע"מ</v>
          </cell>
          <cell r="J933">
            <v>0.48010000000000003</v>
          </cell>
          <cell r="K933" t="str">
            <v>₪</v>
          </cell>
          <cell r="L933">
            <v>2000</v>
          </cell>
          <cell r="M933" t="str">
            <v>יח'</v>
          </cell>
          <cell r="N933">
            <v>960.2</v>
          </cell>
        </row>
        <row r="934">
          <cell r="B934" t="str">
            <v>MS21209C0215 INSERT, HELICAL, 2-56 X 1.5D</v>
          </cell>
          <cell r="C934">
            <v>24565</v>
          </cell>
          <cell r="D934">
            <v>2</v>
          </cell>
          <cell r="E934" t="str">
            <v>קשיח</v>
          </cell>
          <cell r="F934" t="str">
            <v>01.0107</v>
          </cell>
          <cell r="G934">
            <v>43699</v>
          </cell>
          <cell r="H934" t="str">
            <v>01.0107</v>
          </cell>
          <cell r="I934" t="str">
            <v>דר טכנולוגיות בע"מ</v>
          </cell>
          <cell r="J934">
            <v>0.48</v>
          </cell>
          <cell r="K934" t="str">
            <v>₪</v>
          </cell>
          <cell r="L934">
            <v>1000</v>
          </cell>
          <cell r="M934" t="str">
            <v>יח'</v>
          </cell>
          <cell r="N934">
            <v>480</v>
          </cell>
        </row>
        <row r="935">
          <cell r="B935" t="str">
            <v>MS21209C0215 INSERT, HELICAL, 2-56 X 1.5D</v>
          </cell>
          <cell r="C935">
            <v>24161</v>
          </cell>
          <cell r="D935">
            <v>3</v>
          </cell>
          <cell r="E935" t="str">
            <v>קשיח</v>
          </cell>
          <cell r="F935" t="str">
            <v>01.0107</v>
          </cell>
          <cell r="G935">
            <v>43664</v>
          </cell>
          <cell r="H935" t="str">
            <v>01.0107</v>
          </cell>
          <cell r="I935" t="str">
            <v>דר טכנולוגיות בע"מ</v>
          </cell>
          <cell r="J935">
            <v>0.48</v>
          </cell>
          <cell r="K935" t="str">
            <v>₪</v>
          </cell>
          <cell r="L935">
            <v>1000</v>
          </cell>
          <cell r="M935" t="str">
            <v>יח'</v>
          </cell>
          <cell r="N935">
            <v>480</v>
          </cell>
        </row>
        <row r="936">
          <cell r="B936" t="str">
            <v>MS21209C0215 INSERT, HELICAL, 2-56 X 1.5D</v>
          </cell>
          <cell r="C936">
            <v>24277</v>
          </cell>
          <cell r="D936">
            <v>1</v>
          </cell>
          <cell r="E936" t="str">
            <v>קשיח</v>
          </cell>
          <cell r="F936" t="str">
            <v>01.0107</v>
          </cell>
          <cell r="G936">
            <v>43662</v>
          </cell>
          <cell r="H936" t="str">
            <v>01.0107</v>
          </cell>
          <cell r="I936" t="str">
            <v>דר טכנולוגיות בע"מ</v>
          </cell>
          <cell r="J936">
            <v>0.48</v>
          </cell>
          <cell r="K936" t="str">
            <v>₪</v>
          </cell>
          <cell r="L936">
            <v>1000</v>
          </cell>
          <cell r="M936" t="str">
            <v>יח'</v>
          </cell>
          <cell r="N936">
            <v>480</v>
          </cell>
        </row>
        <row r="937">
          <cell r="B937" t="str">
            <v>MS21209C0215 INSERT, HELICAL, 2-56 X 1.5D</v>
          </cell>
          <cell r="C937">
            <v>2942</v>
          </cell>
          <cell r="D937">
            <v>1</v>
          </cell>
          <cell r="E937" t="str">
            <v>קשיח</v>
          </cell>
          <cell r="F937" t="str">
            <v>01.0107</v>
          </cell>
          <cell r="G937">
            <v>41444</v>
          </cell>
          <cell r="H937" t="str">
            <v>01.0107</v>
          </cell>
          <cell r="I937" t="str">
            <v>לוונשטיין טכנולוגיות</v>
          </cell>
          <cell r="J937">
            <v>0.56000000000000005</v>
          </cell>
          <cell r="K937" t="str">
            <v>₪</v>
          </cell>
          <cell r="L937">
            <v>1000</v>
          </cell>
          <cell r="M937" t="str">
            <v>יח'</v>
          </cell>
          <cell r="N937">
            <v>560</v>
          </cell>
        </row>
        <row r="938">
          <cell r="B938" t="str">
            <v>MS 21209 CO215</v>
          </cell>
          <cell r="C938">
            <v>1793</v>
          </cell>
          <cell r="D938">
            <v>1</v>
          </cell>
          <cell r="E938" t="str">
            <v>קשיח</v>
          </cell>
          <cell r="F938" t="str">
            <v>01.0107</v>
          </cell>
          <cell r="G938">
            <v>41298</v>
          </cell>
          <cell r="H938" t="str">
            <v>01.0107</v>
          </cell>
          <cell r="I938" t="str">
            <v>לוונשטיין טכנולוגיות</v>
          </cell>
          <cell r="J938">
            <v>0.56000000000000005</v>
          </cell>
          <cell r="K938" t="str">
            <v>₪</v>
          </cell>
          <cell r="L938">
            <v>1000</v>
          </cell>
          <cell r="M938" t="str">
            <v>יח'</v>
          </cell>
          <cell r="N938">
            <v>560</v>
          </cell>
        </row>
        <row r="939">
          <cell r="B939" t="str">
            <v>MS 21209 CO215</v>
          </cell>
          <cell r="C939">
            <v>1252</v>
          </cell>
          <cell r="D939">
            <v>3</v>
          </cell>
          <cell r="E939" t="str">
            <v>קשיח</v>
          </cell>
          <cell r="F939" t="str">
            <v>01.0107</v>
          </cell>
          <cell r="G939">
            <v>41232</v>
          </cell>
          <cell r="H939" t="str">
            <v>01.0107</v>
          </cell>
          <cell r="I939" t="str">
            <v>לוונשטיין טכנולוגיות</v>
          </cell>
          <cell r="J939">
            <v>0.56000000000000005</v>
          </cell>
          <cell r="K939" t="str">
            <v>₪</v>
          </cell>
          <cell r="L939">
            <v>1000</v>
          </cell>
          <cell r="M939" t="str">
            <v>יח'</v>
          </cell>
          <cell r="N939">
            <v>560</v>
          </cell>
        </row>
        <row r="940">
          <cell r="B940" t="str">
            <v>MS21209C0210 INSERT, HELICAL, 2-56 X 1D</v>
          </cell>
          <cell r="C940">
            <v>42353</v>
          </cell>
          <cell r="D940">
            <v>1</v>
          </cell>
          <cell r="E940" t="str">
            <v>קשיח</v>
          </cell>
          <cell r="F940" t="str">
            <v>01.0108</v>
          </cell>
          <cell r="G940">
            <v>45945</v>
          </cell>
          <cell r="H940" t="str">
            <v>01.0108</v>
          </cell>
          <cell r="I940" t="str">
            <v>דר טכנולוגיות בע"מ</v>
          </cell>
          <cell r="J940">
            <v>0.48</v>
          </cell>
          <cell r="K940" t="str">
            <v>₪</v>
          </cell>
          <cell r="L940">
            <v>1000</v>
          </cell>
          <cell r="M940" t="str">
            <v>יח'</v>
          </cell>
          <cell r="N940">
            <v>480</v>
          </cell>
        </row>
        <row r="941">
          <cell r="B941" t="str">
            <v>MS21209C0210 INSERT, HELICAL, 2-56 X 1D</v>
          </cell>
          <cell r="C941">
            <v>41465</v>
          </cell>
          <cell r="D941">
            <v>1</v>
          </cell>
          <cell r="E941" t="str">
            <v>קשיח</v>
          </cell>
          <cell r="F941" t="str">
            <v>01.0108</v>
          </cell>
          <cell r="G941">
            <v>45853</v>
          </cell>
          <cell r="H941" t="str">
            <v>01.0108</v>
          </cell>
          <cell r="I941" t="str">
            <v>דר טכנולוגיות בע"מ</v>
          </cell>
          <cell r="J941">
            <v>0.48</v>
          </cell>
          <cell r="K941" t="str">
            <v>₪</v>
          </cell>
          <cell r="L941">
            <v>4000</v>
          </cell>
          <cell r="M941" t="str">
            <v>יח'</v>
          </cell>
          <cell r="N941">
            <v>1920</v>
          </cell>
        </row>
        <row r="942">
          <cell r="B942" t="str">
            <v>MS21209C0210 INSERT, HELICAL, 2-56 X 1D</v>
          </cell>
          <cell r="C942">
            <v>39042</v>
          </cell>
          <cell r="D942">
            <v>1</v>
          </cell>
          <cell r="E942" t="str">
            <v>קשיח</v>
          </cell>
          <cell r="F942" t="str">
            <v>01.0108</v>
          </cell>
          <cell r="G942">
            <v>45630</v>
          </cell>
          <cell r="H942" t="str">
            <v>01.0108</v>
          </cell>
          <cell r="I942" t="str">
            <v>דר טכנולוגיות בע"מ</v>
          </cell>
          <cell r="J942">
            <v>0.48</v>
          </cell>
          <cell r="K942" t="str">
            <v>₪</v>
          </cell>
          <cell r="L942">
            <v>4000</v>
          </cell>
          <cell r="M942" t="str">
            <v>יח'</v>
          </cell>
          <cell r="N942">
            <v>1920</v>
          </cell>
        </row>
        <row r="943">
          <cell r="B943" t="str">
            <v>MS21209C0210 INSERT, HELICAL, 2-56 X 1D</v>
          </cell>
          <cell r="C943">
            <v>32152</v>
          </cell>
          <cell r="D943">
            <v>1</v>
          </cell>
          <cell r="E943" t="str">
            <v>קשיח</v>
          </cell>
          <cell r="F943" t="str">
            <v>01.0108</v>
          </cell>
          <cell r="G943">
            <v>44782</v>
          </cell>
          <cell r="H943" t="str">
            <v>01.0108</v>
          </cell>
          <cell r="I943" t="str">
            <v>לוונשטיין טכנולוגיות בע"מ</v>
          </cell>
          <cell r="J943">
            <v>0.57999999999999996</v>
          </cell>
          <cell r="K943" t="str">
            <v>₪</v>
          </cell>
          <cell r="L943">
            <v>2000</v>
          </cell>
          <cell r="M943" t="str">
            <v>יח'</v>
          </cell>
          <cell r="N943">
            <v>1160</v>
          </cell>
        </row>
        <row r="944">
          <cell r="B944" t="str">
            <v>MS21209C0210 INSERT, HELICAL, 2-56 X 1D</v>
          </cell>
          <cell r="C944">
            <v>22982</v>
          </cell>
          <cell r="D944">
            <v>1</v>
          </cell>
          <cell r="E944" t="str">
            <v>קשיח</v>
          </cell>
          <cell r="F944" t="str">
            <v>01.0108</v>
          </cell>
          <cell r="G944">
            <v>43513</v>
          </cell>
          <cell r="H944" t="str">
            <v>01.0108</v>
          </cell>
          <cell r="I944" t="str">
            <v>דר טכנולוגיות בע"מ</v>
          </cell>
          <cell r="J944">
            <v>0.46200000000000002</v>
          </cell>
          <cell r="K944" t="str">
            <v>₪</v>
          </cell>
          <cell r="M944" t="str">
            <v>יח'</v>
          </cell>
        </row>
        <row r="945">
          <cell r="B945" t="str">
            <v>MS21209F1-10, INSERT, HELICAL, 10-32 X 1D</v>
          </cell>
          <cell r="C945">
            <v>34532</v>
          </cell>
          <cell r="D945">
            <v>1</v>
          </cell>
          <cell r="E945" t="str">
            <v>קשיח</v>
          </cell>
          <cell r="F945" t="str">
            <v>01.0110</v>
          </cell>
          <cell r="G945">
            <v>45125</v>
          </cell>
          <cell r="H945" t="str">
            <v>01.0110</v>
          </cell>
          <cell r="I945" t="str">
            <v>לוונשטיין טכנולוגיות בע"מ</v>
          </cell>
          <cell r="J945">
            <v>0.57069999999999999</v>
          </cell>
          <cell r="K945" t="str">
            <v>₪</v>
          </cell>
          <cell r="L945">
            <v>1500</v>
          </cell>
          <cell r="M945" t="str">
            <v>יח'</v>
          </cell>
          <cell r="N945">
            <v>856.05</v>
          </cell>
        </row>
        <row r="946">
          <cell r="B946" t="str">
            <v>MS21209F1-10, INSERT, HELICAL, 10-32 X 1D</v>
          </cell>
          <cell r="C946">
            <v>33498</v>
          </cell>
          <cell r="D946">
            <v>2</v>
          </cell>
          <cell r="E946" t="str">
            <v>קשיח</v>
          </cell>
          <cell r="F946" t="str">
            <v>01.0110</v>
          </cell>
          <cell r="G946">
            <v>44986</v>
          </cell>
          <cell r="H946" t="str">
            <v>01.0110</v>
          </cell>
          <cell r="I946" t="str">
            <v>לוונשטיין טכנולוגיות בע"מ</v>
          </cell>
          <cell r="J946">
            <v>0.56669999999999998</v>
          </cell>
          <cell r="K946" t="str">
            <v>₪</v>
          </cell>
          <cell r="L946">
            <v>1500</v>
          </cell>
          <cell r="M946" t="str">
            <v>יח'</v>
          </cell>
          <cell r="N946">
            <v>850.05</v>
          </cell>
        </row>
        <row r="947">
          <cell r="B947" t="str">
            <v>MS21209F1-10, INSERT, HELICAL, 10-32 X 1D</v>
          </cell>
          <cell r="C947">
            <v>32871</v>
          </cell>
          <cell r="D947">
            <v>2</v>
          </cell>
          <cell r="E947" t="str">
            <v>קשיח</v>
          </cell>
          <cell r="F947" t="str">
            <v>01.0110</v>
          </cell>
          <cell r="G947">
            <v>44892</v>
          </cell>
          <cell r="H947" t="str">
            <v>01.0110</v>
          </cell>
          <cell r="I947" t="str">
            <v>דר טכנולוגיות בע"מ</v>
          </cell>
          <cell r="J947">
            <v>0.44</v>
          </cell>
          <cell r="K947" t="str">
            <v>₪</v>
          </cell>
          <cell r="L947">
            <v>1000</v>
          </cell>
          <cell r="M947" t="str">
            <v>יח'</v>
          </cell>
          <cell r="N947">
            <v>440</v>
          </cell>
        </row>
        <row r="948">
          <cell r="B948" t="str">
            <v>MS21209F1-10, INSERT, HELICAL, 10-32 X 1D</v>
          </cell>
          <cell r="C948">
            <v>5563</v>
          </cell>
          <cell r="D948">
            <v>1</v>
          </cell>
          <cell r="E948" t="str">
            <v>קשיח</v>
          </cell>
          <cell r="F948" t="str">
            <v>01.0110</v>
          </cell>
          <cell r="G948">
            <v>41770</v>
          </cell>
          <cell r="H948" t="str">
            <v>01.0110</v>
          </cell>
          <cell r="I948" t="str">
            <v>לוונשטיין טכנולוגיות</v>
          </cell>
          <cell r="J948">
            <v>0</v>
          </cell>
          <cell r="K948" t="str">
            <v>₪</v>
          </cell>
          <cell r="M948" t="str">
            <v>יח'</v>
          </cell>
        </row>
        <row r="949">
          <cell r="B949" t="str">
            <v>כלי החדרת אינסרטים למכונה</v>
          </cell>
          <cell r="C949">
            <v>2749</v>
          </cell>
          <cell r="D949">
            <v>1</v>
          </cell>
          <cell r="E949" t="str">
            <v>קשיח</v>
          </cell>
          <cell r="F949" t="str">
            <v>01.0111</v>
          </cell>
          <cell r="G949">
            <v>41417</v>
          </cell>
          <cell r="H949" t="str">
            <v>01.0111</v>
          </cell>
          <cell r="I949" t="str">
            <v>לוונשטיין טכנולוגיות</v>
          </cell>
          <cell r="J949">
            <v>0</v>
          </cell>
          <cell r="K949" t="str">
            <v>₪</v>
          </cell>
          <cell r="M949" t="str">
            <v>יח'</v>
          </cell>
        </row>
        <row r="950">
          <cell r="B950" t="str">
            <v>כלי החדרה לקינסרטים 51830-202</v>
          </cell>
          <cell r="C950">
            <v>28241</v>
          </cell>
          <cell r="D950">
            <v>1</v>
          </cell>
          <cell r="E950" t="str">
            <v>קשיח</v>
          </cell>
          <cell r="F950" t="str">
            <v>01.0112</v>
          </cell>
          <cell r="G950">
            <v>44248</v>
          </cell>
          <cell r="H950" t="str">
            <v>01.0112</v>
          </cell>
          <cell r="I950" t="str">
            <v>ברמיל בע"מ</v>
          </cell>
          <cell r="J950">
            <v>95.55</v>
          </cell>
          <cell r="K950" t="str">
            <v>$</v>
          </cell>
          <cell r="L950">
            <v>2</v>
          </cell>
          <cell r="M950" t="str">
            <v>יח'</v>
          </cell>
          <cell r="N950">
            <v>587.05920000000003</v>
          </cell>
        </row>
        <row r="951">
          <cell r="B951" t="str">
            <v>כלי החדרה לקינסרטים</v>
          </cell>
          <cell r="C951">
            <v>4555</v>
          </cell>
          <cell r="D951">
            <v>1</v>
          </cell>
          <cell r="E951" t="str">
            <v>קשיח</v>
          </cell>
          <cell r="F951" t="str">
            <v>01.0112</v>
          </cell>
          <cell r="G951">
            <v>41654</v>
          </cell>
          <cell r="H951" t="str">
            <v>01.0112</v>
          </cell>
          <cell r="I951" t="str">
            <v>לוונשטיין טכנולוגיות</v>
          </cell>
          <cell r="J951">
            <v>380.00020000000001</v>
          </cell>
          <cell r="K951" t="str">
            <v>₪</v>
          </cell>
          <cell r="M951" t="str">
            <v>יח'</v>
          </cell>
        </row>
        <row r="952">
          <cell r="B952" t="str">
            <v>כלי החדרה לקינסרטים עבור 51830-201</v>
          </cell>
          <cell r="C952">
            <v>2869</v>
          </cell>
          <cell r="D952">
            <v>1</v>
          </cell>
          <cell r="E952" t="str">
            <v>קשיח</v>
          </cell>
          <cell r="F952" t="str">
            <v>01.0112</v>
          </cell>
          <cell r="G952">
            <v>41430</v>
          </cell>
          <cell r="H952" t="str">
            <v>01.0112</v>
          </cell>
          <cell r="I952" t="str">
            <v>לוונשטיין טכנולוגיות</v>
          </cell>
          <cell r="J952">
            <v>380</v>
          </cell>
          <cell r="K952" t="str">
            <v>₪</v>
          </cell>
          <cell r="L952">
            <v>1</v>
          </cell>
          <cell r="M952" t="str">
            <v>יח'</v>
          </cell>
          <cell r="N952">
            <v>380</v>
          </cell>
        </row>
        <row r="953">
          <cell r="B953" t="str">
            <v>כלי החדרה לקינסרטים עבור 51830-202/106</v>
          </cell>
          <cell r="C953">
            <v>2869</v>
          </cell>
          <cell r="D953">
            <v>2</v>
          </cell>
          <cell r="E953" t="str">
            <v>קשיח</v>
          </cell>
          <cell r="F953" t="str">
            <v>01.0112</v>
          </cell>
          <cell r="G953">
            <v>41430</v>
          </cell>
          <cell r="H953" t="str">
            <v>01.0112</v>
          </cell>
          <cell r="I953" t="str">
            <v>לוונשטיין טכנולוגיות</v>
          </cell>
          <cell r="J953">
            <v>380</v>
          </cell>
          <cell r="K953" t="str">
            <v>₪</v>
          </cell>
          <cell r="L953">
            <v>1</v>
          </cell>
          <cell r="M953" t="str">
            <v>יח'</v>
          </cell>
          <cell r="N953">
            <v>380</v>
          </cell>
        </row>
        <row r="954">
          <cell r="B954" t="str">
            <v>MS51832-204  INSERT, KEY-LOCKED, 3/8-24</v>
          </cell>
          <cell r="C954">
            <v>25869</v>
          </cell>
          <cell r="D954">
            <v>1</v>
          </cell>
          <cell r="E954" t="str">
            <v>קשיח</v>
          </cell>
          <cell r="F954" t="str">
            <v>01.0113</v>
          </cell>
          <cell r="G954">
            <v>43909</v>
          </cell>
          <cell r="H954" t="str">
            <v>01.0113</v>
          </cell>
          <cell r="I954" t="str">
            <v>גין מהנדסים בע"מ</v>
          </cell>
          <cell r="J954">
            <v>18</v>
          </cell>
          <cell r="K954" t="str">
            <v>₪</v>
          </cell>
          <cell r="L954">
            <v>100</v>
          </cell>
          <cell r="M954" t="str">
            <v>יח'</v>
          </cell>
          <cell r="N954">
            <v>1800</v>
          </cell>
        </row>
        <row r="955">
          <cell r="B955" t="str">
            <v>MS51832-204  INSERT, KEY-LOCKED, 3/8-24</v>
          </cell>
          <cell r="C955">
            <v>24179</v>
          </cell>
          <cell r="D955">
            <v>2</v>
          </cell>
          <cell r="E955" t="str">
            <v>קשיח</v>
          </cell>
          <cell r="F955" t="str">
            <v>01.0113</v>
          </cell>
          <cell r="G955">
            <v>43654</v>
          </cell>
          <cell r="H955" t="str">
            <v>01.0113</v>
          </cell>
          <cell r="I955" t="str">
            <v>גין מהנדסים בע"מ</v>
          </cell>
          <cell r="J955">
            <v>18</v>
          </cell>
          <cell r="K955" t="str">
            <v>₪</v>
          </cell>
          <cell r="L955">
            <v>200</v>
          </cell>
          <cell r="M955" t="str">
            <v>יח'</v>
          </cell>
          <cell r="N955">
            <v>3600</v>
          </cell>
        </row>
        <row r="956">
          <cell r="B956" t="str">
            <v>PIN M6 6.0*8MM DIN 7 PARALLEL RAFAEL</v>
          </cell>
          <cell r="C956">
            <v>24512</v>
          </cell>
          <cell r="D956">
            <v>1</v>
          </cell>
          <cell r="E956" t="str">
            <v>קשיח</v>
          </cell>
          <cell r="F956" t="str">
            <v>01.0114</v>
          </cell>
          <cell r="G956">
            <v>43692</v>
          </cell>
          <cell r="H956" t="str">
            <v>01.0114</v>
          </cell>
          <cell r="I956" t="str">
            <v>גין מהנדסים בע"מ</v>
          </cell>
          <cell r="J956">
            <v>2.1530999999999998</v>
          </cell>
          <cell r="K956" t="str">
            <v>₪</v>
          </cell>
          <cell r="M956" t="str">
            <v>יח'</v>
          </cell>
        </row>
        <row r="957">
          <cell r="B957" t="str">
            <v>PIN M6 6.0*8MM DIN 7 PARALLEL RAFAEL</v>
          </cell>
          <cell r="C957">
            <v>3032</v>
          </cell>
          <cell r="D957">
            <v>1</v>
          </cell>
          <cell r="E957" t="str">
            <v>קשיח</v>
          </cell>
          <cell r="F957" t="str">
            <v>01.0114</v>
          </cell>
          <cell r="G957">
            <v>41457</v>
          </cell>
          <cell r="H957" t="str">
            <v>01.0114</v>
          </cell>
          <cell r="I957" t="str">
            <v>לוונשטיין טכנולוגיות</v>
          </cell>
          <cell r="J957">
            <v>0</v>
          </cell>
          <cell r="K957" t="str">
            <v>₪</v>
          </cell>
          <cell r="L957">
            <v>250</v>
          </cell>
          <cell r="M957" t="str">
            <v>יח'</v>
          </cell>
          <cell r="N957">
            <v>0</v>
          </cell>
        </row>
        <row r="958">
          <cell r="B958" t="str">
            <v>כלי החדרה למכונה  כולל מצמד 4-40</v>
          </cell>
          <cell r="C958">
            <v>41705</v>
          </cell>
          <cell r="D958">
            <v>1</v>
          </cell>
          <cell r="E958" t="str">
            <v>קשיח</v>
          </cell>
          <cell r="F958" t="str">
            <v>01.0115</v>
          </cell>
          <cell r="G958">
            <v>45874</v>
          </cell>
          <cell r="H958" t="str">
            <v>01.0115</v>
          </cell>
          <cell r="I958" t="str">
            <v>דר טכנולוגיות בע"מ</v>
          </cell>
          <cell r="J958">
            <v>500</v>
          </cell>
          <cell r="K958" t="str">
            <v>₪</v>
          </cell>
          <cell r="L958">
            <v>2</v>
          </cell>
          <cell r="M958" t="str">
            <v>יח'</v>
          </cell>
          <cell r="N958">
            <v>1000</v>
          </cell>
        </row>
        <row r="959">
          <cell r="B959" t="str">
            <v>כלי החדרה למכונה  כולל מצמד 4-40</v>
          </cell>
          <cell r="C959">
            <v>39749</v>
          </cell>
          <cell r="D959">
            <v>3</v>
          </cell>
          <cell r="E959" t="str">
            <v>קשיח</v>
          </cell>
          <cell r="F959" t="str">
            <v>01.0115</v>
          </cell>
          <cell r="G959">
            <v>45697</v>
          </cell>
          <cell r="H959" t="str">
            <v>01.0115</v>
          </cell>
          <cell r="I959" t="str">
            <v>לוונשטיין טכנולוגיות בע"מ</v>
          </cell>
          <cell r="J959">
            <v>367.5</v>
          </cell>
          <cell r="K959" t="str">
            <v>₪</v>
          </cell>
          <cell r="L959">
            <v>3</v>
          </cell>
          <cell r="M959" t="str">
            <v>יח'</v>
          </cell>
          <cell r="N959">
            <v>1102.5</v>
          </cell>
        </row>
        <row r="960">
          <cell r="B960" t="str">
            <v>כלי החדרה למכונה  כולל מצמד 4-40</v>
          </cell>
          <cell r="C960">
            <v>34210</v>
          </cell>
          <cell r="D960">
            <v>1</v>
          </cell>
          <cell r="E960" t="str">
            <v>קשיח</v>
          </cell>
          <cell r="F960" t="str">
            <v>01.0115</v>
          </cell>
          <cell r="G960">
            <v>45091</v>
          </cell>
          <cell r="H960" t="str">
            <v>01.0115</v>
          </cell>
          <cell r="I960" t="str">
            <v>דר טכנולוגיות בע"מ</v>
          </cell>
          <cell r="J960">
            <v>500</v>
          </cell>
          <cell r="K960" t="str">
            <v>₪</v>
          </cell>
          <cell r="L960">
            <v>3</v>
          </cell>
          <cell r="M960" t="str">
            <v>יח'</v>
          </cell>
          <cell r="N960">
            <v>1500</v>
          </cell>
        </row>
        <row r="961">
          <cell r="B961" t="str">
            <v>כלי החדרה למכונה 10-32 כולל מצמד</v>
          </cell>
          <cell r="C961">
            <v>39749</v>
          </cell>
          <cell r="D961">
            <v>9</v>
          </cell>
          <cell r="E961" t="str">
            <v>קשיח</v>
          </cell>
          <cell r="F961" t="str">
            <v>01.0116</v>
          </cell>
          <cell r="G961">
            <v>45697</v>
          </cell>
          <cell r="H961" t="str">
            <v>01.0116</v>
          </cell>
          <cell r="I961" t="str">
            <v>לוונשטיין טכנולוגיות בע"מ</v>
          </cell>
          <cell r="J961">
            <v>367.5</v>
          </cell>
          <cell r="K961" t="str">
            <v>₪</v>
          </cell>
          <cell r="L961">
            <v>2</v>
          </cell>
          <cell r="M961" t="str">
            <v>יח'</v>
          </cell>
          <cell r="N961">
            <v>735</v>
          </cell>
        </row>
        <row r="962">
          <cell r="B962" t="str">
            <v>כלי החדרה ידני מנואלה M2</v>
          </cell>
          <cell r="C962">
            <v>34667</v>
          </cell>
          <cell r="D962">
            <v>2</v>
          </cell>
          <cell r="E962" t="str">
            <v>קשיח</v>
          </cell>
          <cell r="F962" t="str">
            <v>01.0119</v>
          </cell>
          <cell r="G962">
            <v>45137</v>
          </cell>
          <cell r="H962" t="str">
            <v>01.0119</v>
          </cell>
          <cell r="I962" t="str">
            <v>דר טכנולוגיות בע"מ</v>
          </cell>
          <cell r="J962">
            <v>490</v>
          </cell>
          <cell r="K962" t="str">
            <v>₪</v>
          </cell>
          <cell r="L962">
            <v>3</v>
          </cell>
          <cell r="M962" t="str">
            <v>יח'</v>
          </cell>
          <cell r="N962">
            <v>1470</v>
          </cell>
        </row>
        <row r="963">
          <cell r="B963" t="str">
            <v xml:space="preserve"> INSERT M5*0.8 L=12.5</v>
          </cell>
          <cell r="C963">
            <v>3161</v>
          </cell>
          <cell r="D963">
            <v>1</v>
          </cell>
          <cell r="E963" t="str">
            <v>קשיח</v>
          </cell>
          <cell r="F963" t="str">
            <v>01.0122</v>
          </cell>
          <cell r="G963">
            <v>41479</v>
          </cell>
          <cell r="H963" t="str">
            <v>01.0122</v>
          </cell>
          <cell r="I963" t="str">
            <v>קודה 2000</v>
          </cell>
          <cell r="J963">
            <v>0.75</v>
          </cell>
          <cell r="K963" t="str">
            <v>₪</v>
          </cell>
          <cell r="L963">
            <v>100</v>
          </cell>
          <cell r="M963" t="str">
            <v>יח'</v>
          </cell>
          <cell r="N963">
            <v>75</v>
          </cell>
        </row>
        <row r="964">
          <cell r="B964" t="str">
            <v xml:space="preserve"> INSERT M6*1.5 L=15</v>
          </cell>
          <cell r="C964">
            <v>3161</v>
          </cell>
          <cell r="D964">
            <v>3</v>
          </cell>
          <cell r="E964" t="str">
            <v>קשיח</v>
          </cell>
          <cell r="F964" t="str">
            <v>01.0124</v>
          </cell>
          <cell r="G964">
            <v>41479</v>
          </cell>
          <cell r="H964" t="str">
            <v>01.0124</v>
          </cell>
          <cell r="I964" t="str">
            <v>קודה 2000</v>
          </cell>
          <cell r="J964">
            <v>0.7</v>
          </cell>
          <cell r="K964" t="str">
            <v>₪</v>
          </cell>
          <cell r="L964">
            <v>100</v>
          </cell>
          <cell r="M964" t="str">
            <v>יח'</v>
          </cell>
          <cell r="N964">
            <v>70</v>
          </cell>
        </row>
        <row r="965">
          <cell r="B965" t="str">
            <v xml:space="preserve"> INSERT M8*1.25 L=16</v>
          </cell>
          <cell r="C965">
            <v>3161</v>
          </cell>
          <cell r="D965">
            <v>5</v>
          </cell>
          <cell r="E965" t="str">
            <v>קשיח</v>
          </cell>
          <cell r="F965" t="str">
            <v>01.0126</v>
          </cell>
          <cell r="G965">
            <v>41479</v>
          </cell>
          <cell r="H965" t="str">
            <v>01.0126</v>
          </cell>
          <cell r="I965" t="str">
            <v>קודה 2000</v>
          </cell>
          <cell r="J965">
            <v>1.1000000000000001</v>
          </cell>
          <cell r="K965" t="str">
            <v>₪</v>
          </cell>
          <cell r="L965">
            <v>100</v>
          </cell>
          <cell r="M965" t="str">
            <v>יח'</v>
          </cell>
          <cell r="N965">
            <v>110.00000000000001</v>
          </cell>
        </row>
        <row r="966">
          <cell r="B966" t="str">
            <v>M2*1.5d Lock</v>
          </cell>
          <cell r="C966">
            <v>37750</v>
          </cell>
          <cell r="D966">
            <v>1</v>
          </cell>
          <cell r="E966" t="str">
            <v>קשיח</v>
          </cell>
          <cell r="F966" t="str">
            <v>01.0127</v>
          </cell>
          <cell r="G966">
            <v>45488</v>
          </cell>
          <cell r="H966" t="str">
            <v>01.0127</v>
          </cell>
          <cell r="I966" t="str">
            <v>לוונשטיין טכנולוגיות בע"מ</v>
          </cell>
          <cell r="J966">
            <v>0.9</v>
          </cell>
          <cell r="K966" t="str">
            <v>₪</v>
          </cell>
          <cell r="L966">
            <v>200</v>
          </cell>
          <cell r="M966" t="str">
            <v>יח'</v>
          </cell>
          <cell r="N966">
            <v>180</v>
          </cell>
        </row>
        <row r="967">
          <cell r="B967" t="str">
            <v>M2*1.5d Lock</v>
          </cell>
          <cell r="C967">
            <v>36897</v>
          </cell>
          <cell r="D967">
            <v>1</v>
          </cell>
          <cell r="E967" t="str">
            <v>קשיח</v>
          </cell>
          <cell r="F967" t="str">
            <v>01.0127</v>
          </cell>
          <cell r="G967">
            <v>45392</v>
          </cell>
          <cell r="H967" t="str">
            <v>01.0127</v>
          </cell>
          <cell r="I967" t="str">
            <v>לוונשטיין טכנולוגיות בע"מ</v>
          </cell>
          <cell r="J967">
            <v>0.9</v>
          </cell>
          <cell r="K967" t="str">
            <v>₪</v>
          </cell>
          <cell r="L967">
            <v>200</v>
          </cell>
          <cell r="M967" t="str">
            <v>יח'</v>
          </cell>
          <cell r="N967">
            <v>180</v>
          </cell>
        </row>
        <row r="968">
          <cell r="B968" t="str">
            <v>M2*1.5d Lock</v>
          </cell>
          <cell r="C968">
            <v>35655</v>
          </cell>
          <cell r="D968">
            <v>4</v>
          </cell>
          <cell r="E968" t="str">
            <v>קשיח</v>
          </cell>
          <cell r="F968" t="str">
            <v>01.0127</v>
          </cell>
          <cell r="G968">
            <v>45258</v>
          </cell>
          <cell r="H968" t="str">
            <v>01.0127</v>
          </cell>
          <cell r="I968" t="str">
            <v>לוונשטיין טכנולוגיות בע"מ</v>
          </cell>
          <cell r="J968">
            <v>0.95</v>
          </cell>
          <cell r="K968" t="str">
            <v>₪</v>
          </cell>
          <cell r="L968">
            <v>200</v>
          </cell>
          <cell r="M968" t="str">
            <v>יח'</v>
          </cell>
          <cell r="N968">
            <v>190</v>
          </cell>
        </row>
        <row r="969">
          <cell r="B969" t="str">
            <v>M2*1.5d Lock</v>
          </cell>
          <cell r="C969">
            <v>31061</v>
          </cell>
          <cell r="D969">
            <v>3</v>
          </cell>
          <cell r="E969" t="str">
            <v>קשיח</v>
          </cell>
          <cell r="F969" t="str">
            <v>01.0127</v>
          </cell>
          <cell r="G969">
            <v>44629</v>
          </cell>
          <cell r="H969" t="str">
            <v>01.0127</v>
          </cell>
          <cell r="I969" t="str">
            <v>לוונשטיין טכנולוגיות בע"מ</v>
          </cell>
          <cell r="J969">
            <v>1.2999000000000001</v>
          </cell>
          <cell r="K969" t="str">
            <v>₪</v>
          </cell>
          <cell r="L969">
            <v>200</v>
          </cell>
          <cell r="M969" t="str">
            <v>יח'</v>
          </cell>
          <cell r="N969">
            <v>259.98</v>
          </cell>
        </row>
        <row r="970">
          <cell r="B970" t="str">
            <v>M2*1.5d Lock</v>
          </cell>
          <cell r="C970">
            <v>30960</v>
          </cell>
          <cell r="D970">
            <v>1</v>
          </cell>
          <cell r="E970" t="str">
            <v>קשיח</v>
          </cell>
          <cell r="F970" t="str">
            <v>01.0127</v>
          </cell>
          <cell r="G970">
            <v>44616</v>
          </cell>
          <cell r="H970" t="str">
            <v>01.0127</v>
          </cell>
          <cell r="I970" t="str">
            <v>לוונשטיין טכנולוגיות בע"מ</v>
          </cell>
          <cell r="J970">
            <v>1.3</v>
          </cell>
          <cell r="K970" t="str">
            <v>₪</v>
          </cell>
          <cell r="L970">
            <v>150</v>
          </cell>
          <cell r="M970" t="str">
            <v>יח'</v>
          </cell>
          <cell r="N970">
            <v>195</v>
          </cell>
        </row>
        <row r="971">
          <cell r="B971" t="str">
            <v>M2*1.5d Lock</v>
          </cell>
          <cell r="C971">
            <v>3461</v>
          </cell>
          <cell r="D971">
            <v>3</v>
          </cell>
          <cell r="E971" t="str">
            <v>קשיח</v>
          </cell>
          <cell r="F971" t="str">
            <v>01.0127</v>
          </cell>
          <cell r="G971">
            <v>41518</v>
          </cell>
          <cell r="H971" t="str">
            <v>01.0127</v>
          </cell>
          <cell r="I971" t="str">
            <v>לוונשטיין טכנולוגיות</v>
          </cell>
          <cell r="J971">
            <v>1.089</v>
          </cell>
          <cell r="K971" t="str">
            <v>₪</v>
          </cell>
          <cell r="L971">
            <v>300</v>
          </cell>
          <cell r="M971" t="str">
            <v>יח'</v>
          </cell>
          <cell r="N971">
            <v>326.7</v>
          </cell>
        </row>
        <row r="972">
          <cell r="B972" t="str">
            <v>M2.5*1.5d  Lock</v>
          </cell>
          <cell r="C972">
            <v>3461</v>
          </cell>
          <cell r="D972">
            <v>4</v>
          </cell>
          <cell r="E972" t="str">
            <v>קשיח</v>
          </cell>
          <cell r="F972" t="str">
            <v>01.0128</v>
          </cell>
          <cell r="G972">
            <v>41518</v>
          </cell>
          <cell r="H972" t="str">
            <v>01.0128</v>
          </cell>
          <cell r="I972" t="str">
            <v>לוונשטיין טכנולוגיות</v>
          </cell>
          <cell r="J972">
            <v>0.7</v>
          </cell>
          <cell r="K972" t="str">
            <v>₪</v>
          </cell>
          <cell r="L972">
            <v>300</v>
          </cell>
          <cell r="M972" t="str">
            <v>יח'</v>
          </cell>
          <cell r="N972">
            <v>210</v>
          </cell>
        </row>
        <row r="973">
          <cell r="B973" t="str">
            <v xml:space="preserve"> Helicoil M2.5*1.5d - Free/1084 2.5 CN 3.8</v>
          </cell>
          <cell r="C973">
            <v>35845</v>
          </cell>
          <cell r="D973">
            <v>3</v>
          </cell>
          <cell r="E973" t="str">
            <v>קשיח</v>
          </cell>
          <cell r="F973" t="str">
            <v>01.0130</v>
          </cell>
          <cell r="G973">
            <v>45278</v>
          </cell>
          <cell r="H973" t="str">
            <v>01.0130</v>
          </cell>
          <cell r="I973" t="str">
            <v>לוונשטיין טכנולוגיות בע"מ</v>
          </cell>
          <cell r="J973">
            <v>0.51980000000000004</v>
          </cell>
          <cell r="K973" t="str">
            <v>₪</v>
          </cell>
          <cell r="L973">
            <v>1000</v>
          </cell>
          <cell r="M973" t="str">
            <v>יח'</v>
          </cell>
          <cell r="N973">
            <v>519.80000000000007</v>
          </cell>
        </row>
        <row r="974">
          <cell r="B974" t="str">
            <v xml:space="preserve"> Helicoil M2.5*1.5d - Free/1084 2.5 CN 3.8</v>
          </cell>
          <cell r="C974">
            <v>35631</v>
          </cell>
          <cell r="D974">
            <v>1</v>
          </cell>
          <cell r="E974" t="str">
            <v>קשיח</v>
          </cell>
          <cell r="F974" t="str">
            <v>01.0130</v>
          </cell>
          <cell r="G974">
            <v>45253</v>
          </cell>
          <cell r="H974" t="str">
            <v>01.0130</v>
          </cell>
          <cell r="I974" t="str">
            <v>לוונשטיין טכנולוגיות בע"מ</v>
          </cell>
          <cell r="J974">
            <v>0.51980000000000004</v>
          </cell>
          <cell r="K974" t="str">
            <v>₪</v>
          </cell>
          <cell r="L974">
            <v>2000</v>
          </cell>
          <cell r="M974" t="str">
            <v>יח'</v>
          </cell>
          <cell r="N974">
            <v>1039.6000000000001</v>
          </cell>
        </row>
        <row r="975">
          <cell r="B975" t="str">
            <v xml:space="preserve"> Helicoil M2.5*1.5d - Free/1084 2.5 CN 3.8</v>
          </cell>
          <cell r="C975">
            <v>35618</v>
          </cell>
          <cell r="D975">
            <v>1</v>
          </cell>
          <cell r="E975" t="str">
            <v>קשיח</v>
          </cell>
          <cell r="F975" t="str">
            <v>01.0130</v>
          </cell>
          <cell r="G975">
            <v>45252</v>
          </cell>
          <cell r="H975" t="str">
            <v>01.0130</v>
          </cell>
          <cell r="I975" t="str">
            <v>לוונשטיין טכנולוגיות בע"מ</v>
          </cell>
          <cell r="J975">
            <v>0.51749999999999996</v>
          </cell>
          <cell r="K975" t="str">
            <v>₪</v>
          </cell>
          <cell r="L975">
            <v>2000</v>
          </cell>
          <cell r="M975" t="str">
            <v>יח'</v>
          </cell>
          <cell r="N975">
            <v>1035</v>
          </cell>
        </row>
        <row r="976">
          <cell r="B976" t="str">
            <v xml:space="preserve"> Helicoil M2.5*1.5d - Free/1084 2.5 CN 3.8</v>
          </cell>
          <cell r="C976">
            <v>29008</v>
          </cell>
          <cell r="D976">
            <v>2</v>
          </cell>
          <cell r="E976" t="str">
            <v>קשיח</v>
          </cell>
          <cell r="F976" t="str">
            <v>01.0130</v>
          </cell>
          <cell r="G976">
            <v>44353</v>
          </cell>
          <cell r="H976" t="str">
            <v>01.0130</v>
          </cell>
          <cell r="I976" t="str">
            <v>לוונשטיין טכנולוגיות</v>
          </cell>
          <cell r="J976">
            <v>0.52</v>
          </cell>
          <cell r="K976" t="str">
            <v>₪</v>
          </cell>
          <cell r="L976">
            <v>1000</v>
          </cell>
          <cell r="M976" t="str">
            <v>יח'</v>
          </cell>
          <cell r="N976">
            <v>520</v>
          </cell>
        </row>
        <row r="977">
          <cell r="B977" t="str">
            <v>1084 2.5 CN 3.8</v>
          </cell>
          <cell r="C977">
            <v>27763</v>
          </cell>
          <cell r="D977">
            <v>3</v>
          </cell>
          <cell r="E977" t="str">
            <v>קשיח</v>
          </cell>
          <cell r="F977" t="str">
            <v>01.0130</v>
          </cell>
          <cell r="G977">
            <v>44179</v>
          </cell>
          <cell r="H977" t="str">
            <v>01.0130</v>
          </cell>
          <cell r="I977" t="str">
            <v>דר טכנולוגיות בע"מ</v>
          </cell>
          <cell r="J977">
            <v>0.48</v>
          </cell>
          <cell r="K977" t="str">
            <v>₪</v>
          </cell>
          <cell r="L977">
            <v>1000</v>
          </cell>
          <cell r="M977" t="str">
            <v>יח'</v>
          </cell>
          <cell r="N977">
            <v>480</v>
          </cell>
        </row>
        <row r="978">
          <cell r="B978" t="str">
            <v>1084 2.5 CN 3.8</v>
          </cell>
          <cell r="C978">
            <v>23067</v>
          </cell>
          <cell r="D978">
            <v>3</v>
          </cell>
          <cell r="E978" t="str">
            <v>קשיח</v>
          </cell>
          <cell r="F978" t="str">
            <v>01.0130</v>
          </cell>
          <cell r="G978">
            <v>43524</v>
          </cell>
          <cell r="H978" t="str">
            <v>01.0130</v>
          </cell>
          <cell r="I978" t="str">
            <v>דר טכנולוגיות בע"מ</v>
          </cell>
          <cell r="J978">
            <v>0.48</v>
          </cell>
          <cell r="K978" t="str">
            <v>₪</v>
          </cell>
          <cell r="L978">
            <v>1000</v>
          </cell>
          <cell r="M978" t="str">
            <v>יח'</v>
          </cell>
          <cell r="N978">
            <v>480</v>
          </cell>
        </row>
        <row r="979">
          <cell r="B979" t="str">
            <v>1084 2.5 CN 3.8</v>
          </cell>
          <cell r="C979">
            <v>16977</v>
          </cell>
          <cell r="D979">
            <v>1</v>
          </cell>
          <cell r="E979" t="str">
            <v>קשיח</v>
          </cell>
          <cell r="F979" t="str">
            <v>01.0130</v>
          </cell>
          <cell r="G979">
            <v>43033</v>
          </cell>
          <cell r="H979" t="str">
            <v>01.0130</v>
          </cell>
          <cell r="I979" t="str">
            <v>דר טכנולוגיות בע"מ</v>
          </cell>
          <cell r="J979">
            <v>0</v>
          </cell>
          <cell r="K979" t="str">
            <v>₪</v>
          </cell>
          <cell r="M979" t="str">
            <v>יח'</v>
          </cell>
        </row>
        <row r="980">
          <cell r="B980" t="str">
            <v>1084 2.5 CN 3.8</v>
          </cell>
          <cell r="C980">
            <v>16741</v>
          </cell>
          <cell r="D980">
            <v>1</v>
          </cell>
          <cell r="E980" t="str">
            <v>קשיח</v>
          </cell>
          <cell r="F980" t="str">
            <v>01.0130</v>
          </cell>
          <cell r="G980">
            <v>43005</v>
          </cell>
          <cell r="H980" t="str">
            <v>01.0130</v>
          </cell>
          <cell r="I980" t="str">
            <v>דר טכנולוגיות בע"מ</v>
          </cell>
          <cell r="J980">
            <v>0</v>
          </cell>
          <cell r="K980" t="str">
            <v>₪</v>
          </cell>
          <cell r="M980" t="str">
            <v>יח'</v>
          </cell>
        </row>
        <row r="981">
          <cell r="B981" t="str">
            <v>MS51831-203 SCREW-THREAD, FREE RUN</v>
          </cell>
          <cell r="C981">
            <v>44632</v>
          </cell>
          <cell r="D981">
            <v>2</v>
          </cell>
          <cell r="E981" t="str">
            <v>קשיח</v>
          </cell>
          <cell r="F981" t="str">
            <v>01.0131</v>
          </cell>
          <cell r="G981">
            <v>46049</v>
          </cell>
          <cell r="H981" t="str">
            <v>01.0131</v>
          </cell>
          <cell r="I981" t="str">
            <v>גין מהנדסים בע"מ</v>
          </cell>
          <cell r="J981">
            <v>5.9</v>
          </cell>
          <cell r="K981" t="str">
            <v>₪</v>
          </cell>
          <cell r="L981">
            <v>50</v>
          </cell>
          <cell r="M981" t="str">
            <v>יח'</v>
          </cell>
          <cell r="N981">
            <v>295</v>
          </cell>
        </row>
        <row r="982">
          <cell r="B982" t="str">
            <v>MS51831-203 SCREW-THREAD, FREE RUN</v>
          </cell>
          <cell r="C982">
            <v>33805</v>
          </cell>
          <cell r="D982">
            <v>1</v>
          </cell>
          <cell r="E982" t="str">
            <v>קשיח</v>
          </cell>
          <cell r="F982" t="str">
            <v>01.0131</v>
          </cell>
          <cell r="G982">
            <v>45043</v>
          </cell>
          <cell r="H982" t="str">
            <v>01.0131</v>
          </cell>
          <cell r="I982" t="str">
            <v>גין מהנדסים בע"מ</v>
          </cell>
          <cell r="J982">
            <v>7</v>
          </cell>
          <cell r="K982" t="str">
            <v>₪</v>
          </cell>
          <cell r="L982">
            <v>200</v>
          </cell>
          <cell r="M982" t="str">
            <v>יח'</v>
          </cell>
          <cell r="N982">
            <v>1400</v>
          </cell>
        </row>
        <row r="983">
          <cell r="B983" t="str">
            <v>MS51831-203 SCREW-THREAD, FREE RUN</v>
          </cell>
          <cell r="C983">
            <v>5303</v>
          </cell>
          <cell r="D983">
            <v>1</v>
          </cell>
          <cell r="E983" t="str">
            <v>קשיח</v>
          </cell>
          <cell r="F983" t="str">
            <v>01.0131</v>
          </cell>
          <cell r="G983">
            <v>41728</v>
          </cell>
          <cell r="H983" t="str">
            <v>01.0131</v>
          </cell>
          <cell r="I983" t="str">
            <v>גין מהנדסים בע"מ</v>
          </cell>
          <cell r="J983">
            <v>5.6901999999999999</v>
          </cell>
          <cell r="K983" t="str">
            <v>₪</v>
          </cell>
          <cell r="M983" t="str">
            <v>יח'</v>
          </cell>
        </row>
        <row r="984">
          <cell r="B984" t="str">
            <v>MS 21209CO620</v>
          </cell>
          <cell r="C984">
            <v>38138</v>
          </cell>
          <cell r="D984">
            <v>2</v>
          </cell>
          <cell r="E984" t="str">
            <v>קשיח</v>
          </cell>
          <cell r="F984" t="str">
            <v>01.0132</v>
          </cell>
          <cell r="G984">
            <v>45530</v>
          </cell>
          <cell r="H984" t="str">
            <v>01.0132</v>
          </cell>
          <cell r="I984" t="str">
            <v>דר טכנולוגיות בע"מ</v>
          </cell>
          <cell r="J984">
            <v>0.6</v>
          </cell>
          <cell r="K984" t="str">
            <v>₪</v>
          </cell>
          <cell r="L984">
            <v>200</v>
          </cell>
          <cell r="M984" t="str">
            <v>יח'</v>
          </cell>
          <cell r="N984">
            <v>120</v>
          </cell>
        </row>
        <row r="985">
          <cell r="B985" t="str">
            <v>MS 21209CO620</v>
          </cell>
          <cell r="C985">
            <v>18625</v>
          </cell>
          <cell r="D985">
            <v>3</v>
          </cell>
          <cell r="E985" t="str">
            <v>קשיח</v>
          </cell>
          <cell r="F985" t="str">
            <v>01.0132</v>
          </cell>
          <cell r="G985">
            <v>43104</v>
          </cell>
          <cell r="H985" t="str">
            <v>01.0132</v>
          </cell>
          <cell r="I985" t="str">
            <v>גין מהנדסים בע"מ</v>
          </cell>
          <cell r="J985">
            <v>0.49990000000000001</v>
          </cell>
          <cell r="K985" t="str">
            <v>₪</v>
          </cell>
          <cell r="M985" t="str">
            <v>יח'</v>
          </cell>
        </row>
        <row r="986">
          <cell r="B986" t="str">
            <v>MS 21209CO620</v>
          </cell>
          <cell r="C986">
            <v>3599</v>
          </cell>
          <cell r="D986">
            <v>1</v>
          </cell>
          <cell r="E986" t="str">
            <v>קשיח</v>
          </cell>
          <cell r="F986" t="str">
            <v>01.0132</v>
          </cell>
          <cell r="G986">
            <v>41535</v>
          </cell>
          <cell r="H986" t="str">
            <v>01.0132</v>
          </cell>
          <cell r="I986" t="str">
            <v>גין מהנדסים בע"מ</v>
          </cell>
          <cell r="J986">
            <v>0.5</v>
          </cell>
          <cell r="K986" t="str">
            <v>₪</v>
          </cell>
          <cell r="L986">
            <v>200</v>
          </cell>
          <cell r="M986" t="str">
            <v>יח'</v>
          </cell>
          <cell r="N986">
            <v>100</v>
          </cell>
        </row>
        <row r="987">
          <cell r="B987" t="str">
            <v>2TNM3*0.5C-3</v>
          </cell>
          <cell r="C987">
            <v>14023</v>
          </cell>
          <cell r="D987">
            <v>1</v>
          </cell>
          <cell r="E987" t="str">
            <v>קשיח</v>
          </cell>
          <cell r="F987" t="str">
            <v>01.0133</v>
          </cell>
          <cell r="G987">
            <v>42716</v>
          </cell>
          <cell r="H987" t="str">
            <v>01.0133</v>
          </cell>
          <cell r="I987" t="str">
            <v>דר טכנולוגיות בע"מ</v>
          </cell>
          <cell r="J987">
            <v>0.50019999999999998</v>
          </cell>
          <cell r="K987" t="str">
            <v>₪</v>
          </cell>
          <cell r="M987" t="str">
            <v>יח'</v>
          </cell>
        </row>
        <row r="988">
          <cell r="B988" t="str">
            <v>2TNM2.5*0.45C-2.5</v>
          </cell>
          <cell r="C988">
            <v>26690</v>
          </cell>
          <cell r="D988">
            <v>1</v>
          </cell>
          <cell r="E988" t="str">
            <v>קשיח</v>
          </cell>
          <cell r="F988" t="str">
            <v>01.0135</v>
          </cell>
          <cell r="G988">
            <v>44033</v>
          </cell>
          <cell r="H988" t="str">
            <v>01.0135</v>
          </cell>
          <cell r="I988" t="str">
            <v>דר טכנולוגיות בע"מ</v>
          </cell>
          <cell r="J988">
            <v>0.6</v>
          </cell>
          <cell r="K988" t="str">
            <v>₪</v>
          </cell>
          <cell r="L988">
            <v>2000</v>
          </cell>
          <cell r="M988" t="str">
            <v>יח'</v>
          </cell>
          <cell r="N988">
            <v>1200</v>
          </cell>
        </row>
        <row r="989">
          <cell r="B989" t="str">
            <v>כלי החדרה לקשיח  M3</v>
          </cell>
          <cell r="C989">
            <v>42676</v>
          </cell>
          <cell r="D989">
            <v>1</v>
          </cell>
          <cell r="E989" t="str">
            <v>קשיח</v>
          </cell>
          <cell r="F989" t="str">
            <v>01.0137</v>
          </cell>
          <cell r="G989">
            <v>45973</v>
          </cell>
          <cell r="H989" t="str">
            <v>01.0137</v>
          </cell>
          <cell r="I989" t="str">
            <v>דר טכנולוגיות בע"מ</v>
          </cell>
          <cell r="J989">
            <v>500</v>
          </cell>
          <cell r="K989" t="str">
            <v>₪</v>
          </cell>
          <cell r="L989">
            <v>1</v>
          </cell>
          <cell r="M989" t="str">
            <v>יח'</v>
          </cell>
          <cell r="N989">
            <v>500</v>
          </cell>
        </row>
        <row r="990">
          <cell r="B990" t="str">
            <v>KNM8*1.25 NON LOCKING CRES 303 
PASSIVATED</v>
          </cell>
          <cell r="C990">
            <v>44525</v>
          </cell>
          <cell r="D990">
            <v>4</v>
          </cell>
          <cell r="E990" t="str">
            <v>קשיח</v>
          </cell>
          <cell r="F990" t="str">
            <v>01.0139</v>
          </cell>
          <cell r="G990">
            <v>46042</v>
          </cell>
          <cell r="H990" t="str">
            <v>01.0139</v>
          </cell>
          <cell r="I990" t="str">
            <v>גין מהנדסים בע"מ</v>
          </cell>
          <cell r="J990">
            <v>10</v>
          </cell>
          <cell r="K990" t="str">
            <v>₪</v>
          </cell>
          <cell r="L990">
            <v>120</v>
          </cell>
          <cell r="M990" t="str">
            <v>יח'</v>
          </cell>
          <cell r="N990">
            <v>1200</v>
          </cell>
        </row>
        <row r="991">
          <cell r="B991" t="str">
            <v>KNM8*1.25 -CLM-8125-SKS 07660-108 76353</v>
          </cell>
          <cell r="C991">
            <v>37291</v>
          </cell>
          <cell r="D991">
            <v>4</v>
          </cell>
          <cell r="E991" t="str">
            <v>קשיח</v>
          </cell>
          <cell r="F991" t="str">
            <v>01.0139</v>
          </cell>
          <cell r="G991">
            <v>45439</v>
          </cell>
          <cell r="H991" t="str">
            <v>01.0139</v>
          </cell>
          <cell r="I991" t="str">
            <v>גין מהנדסים בע"מ</v>
          </cell>
          <cell r="J991">
            <v>10</v>
          </cell>
          <cell r="K991" t="str">
            <v>₪</v>
          </cell>
          <cell r="L991">
            <v>300</v>
          </cell>
          <cell r="M991" t="str">
            <v>יח'</v>
          </cell>
          <cell r="N991">
            <v>3000</v>
          </cell>
        </row>
        <row r="992">
          <cell r="B992" t="str">
            <v>KNM12*1.75</v>
          </cell>
          <cell r="C992">
            <v>14352</v>
          </cell>
          <cell r="D992">
            <v>1</v>
          </cell>
          <cell r="E992" t="str">
            <v>קשיח</v>
          </cell>
          <cell r="F992" t="str">
            <v>01.0140-1</v>
          </cell>
          <cell r="G992">
            <v>42751</v>
          </cell>
          <cell r="H992" t="str">
            <v>01.0140-1</v>
          </cell>
          <cell r="I992" t="str">
            <v>גין מהנדסים בע"מ</v>
          </cell>
          <cell r="J992">
            <v>35.927399999999999</v>
          </cell>
          <cell r="K992" t="str">
            <v>₪</v>
          </cell>
          <cell r="M992" t="str">
            <v>יח'</v>
          </cell>
        </row>
        <row r="993">
          <cell r="B993" t="str">
            <v>insert helicoil M6*9 DIN 8140 AM6X9-A2</v>
          </cell>
          <cell r="C993">
            <v>44524</v>
          </cell>
          <cell r="D993">
            <v>1</v>
          </cell>
          <cell r="E993" t="str">
            <v>קשיח</v>
          </cell>
          <cell r="F993" t="str">
            <v>01.0144</v>
          </cell>
          <cell r="G993">
            <v>46042</v>
          </cell>
          <cell r="H993" t="str">
            <v>01.0144</v>
          </cell>
          <cell r="I993" t="str">
            <v>דר טכנולוגיות בע"מ</v>
          </cell>
          <cell r="J993">
            <v>0.65</v>
          </cell>
          <cell r="K993" t="str">
            <v>₪</v>
          </cell>
          <cell r="L993">
            <v>300</v>
          </cell>
          <cell r="M993" t="str">
            <v>יח'</v>
          </cell>
          <cell r="N993">
            <v>195</v>
          </cell>
        </row>
        <row r="994">
          <cell r="B994" t="str">
            <v>insert helicoil M6*9 DIN 8140 AM6X9-A2</v>
          </cell>
          <cell r="C994">
            <v>42140</v>
          </cell>
          <cell r="D994">
            <v>1</v>
          </cell>
          <cell r="E994" t="str">
            <v>קשיח</v>
          </cell>
          <cell r="F994" t="str">
            <v>01.0144</v>
          </cell>
          <cell r="G994">
            <v>45917</v>
          </cell>
          <cell r="H994" t="str">
            <v>01.0144</v>
          </cell>
          <cell r="I994" t="str">
            <v>דר טכנולוגיות בע"מ</v>
          </cell>
          <cell r="J994">
            <v>0.65</v>
          </cell>
          <cell r="K994" t="str">
            <v>₪</v>
          </cell>
          <cell r="L994">
            <v>200</v>
          </cell>
          <cell r="M994" t="str">
            <v>יח'</v>
          </cell>
          <cell r="N994">
            <v>130</v>
          </cell>
        </row>
        <row r="995">
          <cell r="B995" t="str">
            <v>insert helicoil M6*9 DIN 8140 AM6X9-A2</v>
          </cell>
          <cell r="C995">
            <v>39732</v>
          </cell>
          <cell r="D995">
            <v>1</v>
          </cell>
          <cell r="E995" t="str">
            <v>קשיח</v>
          </cell>
          <cell r="F995" t="str">
            <v>01.0144</v>
          </cell>
          <cell r="G995">
            <v>45694</v>
          </cell>
          <cell r="H995" t="str">
            <v>01.0144</v>
          </cell>
          <cell r="I995" t="str">
            <v>דר טכנולוגיות בע"מ</v>
          </cell>
          <cell r="J995">
            <v>0.42</v>
          </cell>
          <cell r="K995" t="str">
            <v>₪</v>
          </cell>
          <cell r="L995">
            <v>600</v>
          </cell>
          <cell r="M995" t="str">
            <v>יח'</v>
          </cell>
          <cell r="N995">
            <v>252</v>
          </cell>
        </row>
        <row r="996">
          <cell r="B996" t="str">
            <v>insert helicoil M6*9 DIN 8140 AM6X9-A2</v>
          </cell>
          <cell r="C996">
            <v>19183</v>
          </cell>
          <cell r="D996">
            <v>1</v>
          </cell>
          <cell r="E996" t="str">
            <v>קשיח</v>
          </cell>
          <cell r="F996" t="str">
            <v>01.0144</v>
          </cell>
          <cell r="G996">
            <v>43158</v>
          </cell>
          <cell r="H996" t="str">
            <v>01.0144</v>
          </cell>
          <cell r="I996" t="str">
            <v>גין מהנדסים בע"מ</v>
          </cell>
          <cell r="J996">
            <v>0.5514</v>
          </cell>
          <cell r="K996" t="str">
            <v>₪</v>
          </cell>
          <cell r="M996" t="str">
            <v>יח'</v>
          </cell>
        </row>
        <row r="997">
          <cell r="B997" t="str">
            <v>insert helicoil M6*9 DIN 8140 AM6X9-A2</v>
          </cell>
          <cell r="C997">
            <v>4025</v>
          </cell>
          <cell r="D997">
            <v>1</v>
          </cell>
          <cell r="E997" t="str">
            <v>קשיח</v>
          </cell>
          <cell r="F997" t="str">
            <v>01.0144</v>
          </cell>
          <cell r="G997">
            <v>41589</v>
          </cell>
          <cell r="H997" t="str">
            <v>01.0144</v>
          </cell>
          <cell r="I997" t="str">
            <v>לוונשטיין טכנולוגיות</v>
          </cell>
          <cell r="J997">
            <v>0</v>
          </cell>
          <cell r="K997" t="str">
            <v>₪</v>
          </cell>
          <cell r="M997" t="str">
            <v>יח'</v>
          </cell>
        </row>
        <row r="998">
          <cell r="B998" t="str">
            <v>MS21209F1-15, INSERT, HELICAL, 10-32 X 1.5D</v>
          </cell>
          <cell r="C998">
            <v>39370</v>
          </cell>
          <cell r="D998">
            <v>1</v>
          </cell>
          <cell r="E998" t="str">
            <v>קשיח</v>
          </cell>
          <cell r="F998" t="str">
            <v>01.0148</v>
          </cell>
          <cell r="G998">
            <v>45662</v>
          </cell>
          <cell r="H998" t="str">
            <v>01.0148</v>
          </cell>
          <cell r="I998" t="str">
            <v>לוונשטיין טכנולוגיות בע"מ</v>
          </cell>
          <cell r="J998">
            <v>0.57999999999999996</v>
          </cell>
          <cell r="K998" t="str">
            <v>₪</v>
          </cell>
          <cell r="L998">
            <v>1000</v>
          </cell>
          <cell r="M998" t="str">
            <v>יח'</v>
          </cell>
          <cell r="N998">
            <v>580</v>
          </cell>
        </row>
        <row r="999">
          <cell r="B999" t="str">
            <v>MS21209F1-15, INSERT, HELICAL, 10-32 X 1.5D</v>
          </cell>
          <cell r="C999">
            <v>37513</v>
          </cell>
          <cell r="D999">
            <v>1</v>
          </cell>
          <cell r="E999" t="str">
            <v>קשיח</v>
          </cell>
          <cell r="F999" t="str">
            <v>01.0148</v>
          </cell>
          <cell r="G999">
            <v>45462</v>
          </cell>
          <cell r="H999" t="str">
            <v>01.0148</v>
          </cell>
          <cell r="I999" t="str">
            <v>לוונשטיין טכנולוגיות בע"מ</v>
          </cell>
          <cell r="J999">
            <v>0.54859999999999998</v>
          </cell>
          <cell r="K999" t="str">
            <v>₪</v>
          </cell>
          <cell r="L999">
            <v>1000</v>
          </cell>
          <cell r="M999" t="str">
            <v>יח'</v>
          </cell>
          <cell r="N999">
            <v>548.6</v>
          </cell>
        </row>
        <row r="1000">
          <cell r="B1000" t="str">
            <v>MS21209F1-15, INSERT, HELICAL, 10-32 X 1.5D</v>
          </cell>
          <cell r="C1000">
            <v>36650</v>
          </cell>
          <cell r="D1000">
            <v>1</v>
          </cell>
          <cell r="E1000" t="str">
            <v>קשיח</v>
          </cell>
          <cell r="F1000" t="str">
            <v>01.0148</v>
          </cell>
          <cell r="G1000">
            <v>45368</v>
          </cell>
          <cell r="H1000" t="str">
            <v>01.0148</v>
          </cell>
          <cell r="I1000" t="str">
            <v>לוונשטיין טכנולוגיות בע"מ</v>
          </cell>
          <cell r="J1000">
            <v>0.55000000000000004</v>
          </cell>
          <cell r="K1000" t="str">
            <v>₪</v>
          </cell>
          <cell r="L1000">
            <v>1000</v>
          </cell>
          <cell r="M1000" t="str">
            <v>יח'</v>
          </cell>
          <cell r="N1000">
            <v>550</v>
          </cell>
        </row>
        <row r="1001">
          <cell r="B1001" t="str">
            <v>MS21209F1-15, INSERT, HELICAL, 10-32 X 1.5D</v>
          </cell>
          <cell r="C1001">
            <v>33587</v>
          </cell>
          <cell r="D1001">
            <v>1</v>
          </cell>
          <cell r="E1001" t="str">
            <v>קשיח</v>
          </cell>
          <cell r="F1001" t="str">
            <v>01.0148</v>
          </cell>
          <cell r="G1001">
            <v>45005</v>
          </cell>
          <cell r="H1001" t="str">
            <v>01.0148</v>
          </cell>
          <cell r="I1001" t="str">
            <v>לוונשטיין טכנולוגיות בע"מ</v>
          </cell>
          <cell r="J1001">
            <v>0.55000000000000004</v>
          </cell>
          <cell r="K1001" t="str">
            <v>₪</v>
          </cell>
          <cell r="L1001">
            <v>1000</v>
          </cell>
          <cell r="M1001" t="str">
            <v>יח'</v>
          </cell>
          <cell r="N1001">
            <v>550</v>
          </cell>
        </row>
        <row r="1002">
          <cell r="B1002" t="str">
            <v>MS21209F1-15, INSERT, HELICAL, 10-32 X 1.5D</v>
          </cell>
          <cell r="C1002">
            <v>33480</v>
          </cell>
          <cell r="D1002">
            <v>1</v>
          </cell>
          <cell r="E1002" t="str">
            <v>קשיח</v>
          </cell>
          <cell r="F1002" t="str">
            <v>01.0148</v>
          </cell>
          <cell r="G1002">
            <v>44980</v>
          </cell>
          <cell r="H1002" t="str">
            <v>01.0148</v>
          </cell>
          <cell r="I1002" t="str">
            <v>לוונשטיין טכנולוגיות בע"מ</v>
          </cell>
          <cell r="J1002">
            <v>0.55000000000000004</v>
          </cell>
          <cell r="K1002" t="str">
            <v>₪</v>
          </cell>
          <cell r="L1002">
            <v>1000</v>
          </cell>
          <cell r="M1002" t="str">
            <v>יח'</v>
          </cell>
          <cell r="N1002">
            <v>550</v>
          </cell>
        </row>
        <row r="1003">
          <cell r="B1003" t="str">
            <v>MS21209F1-15, INSERT, HELICAL, 10-32 X 1.5D</v>
          </cell>
          <cell r="C1003">
            <v>30752</v>
          </cell>
          <cell r="D1003">
            <v>1</v>
          </cell>
          <cell r="E1003" t="str">
            <v>קשיח</v>
          </cell>
          <cell r="F1003" t="str">
            <v>01.0148</v>
          </cell>
          <cell r="G1003">
            <v>44587</v>
          </cell>
          <cell r="H1003" t="str">
            <v>01.0148</v>
          </cell>
          <cell r="I1003" t="str">
            <v>לוונשטיין טכנולוגיות בע"מ</v>
          </cell>
          <cell r="J1003">
            <v>0.53</v>
          </cell>
          <cell r="K1003" t="str">
            <v>₪</v>
          </cell>
          <cell r="L1003">
            <v>1000</v>
          </cell>
          <cell r="M1003" t="str">
            <v>יח'</v>
          </cell>
          <cell r="N1003">
            <v>530</v>
          </cell>
        </row>
        <row r="1004">
          <cell r="B1004" t="str">
            <v>MS21209F1-15, INSERT, HELICAL, 10-32 X 1.5D</v>
          </cell>
          <cell r="C1004">
            <v>30726</v>
          </cell>
          <cell r="D1004">
            <v>1</v>
          </cell>
          <cell r="E1004" t="str">
            <v>קשיח</v>
          </cell>
          <cell r="F1004" t="str">
            <v>01.0148</v>
          </cell>
          <cell r="G1004">
            <v>44584</v>
          </cell>
          <cell r="H1004" t="str">
            <v>01.0148</v>
          </cell>
          <cell r="I1004" t="str">
            <v>דר טכנולוגיות בע"מ</v>
          </cell>
          <cell r="J1004">
            <v>0.6</v>
          </cell>
          <cell r="K1004" t="str">
            <v>₪</v>
          </cell>
          <cell r="L1004">
            <v>500</v>
          </cell>
          <cell r="M1004" t="str">
            <v>יח'</v>
          </cell>
          <cell r="N1004">
            <v>300</v>
          </cell>
        </row>
        <row r="1005">
          <cell r="B1005" t="str">
            <v>MS21209F1-15, INSERT, HELICAL, 10-32 X 1.5D</v>
          </cell>
          <cell r="C1005">
            <v>28340</v>
          </cell>
          <cell r="D1005">
            <v>1</v>
          </cell>
          <cell r="E1005" t="str">
            <v>קשיח</v>
          </cell>
          <cell r="F1005" t="str">
            <v>01.0148</v>
          </cell>
          <cell r="G1005">
            <v>44259</v>
          </cell>
          <cell r="H1005" t="str">
            <v>01.0148</v>
          </cell>
          <cell r="I1005" t="str">
            <v>דר טכנולוגיות בע"מ</v>
          </cell>
          <cell r="J1005">
            <v>0.6</v>
          </cell>
          <cell r="K1005" t="str">
            <v>₪</v>
          </cell>
          <cell r="L1005">
            <v>200</v>
          </cell>
          <cell r="M1005" t="str">
            <v>יח'</v>
          </cell>
          <cell r="N1005">
            <v>120</v>
          </cell>
        </row>
        <row r="1006">
          <cell r="B1006" t="str">
            <v>MS21209F1-15, INSERT, HELICAL, 10-32 X 1.5D</v>
          </cell>
          <cell r="C1006">
            <v>7287</v>
          </cell>
          <cell r="D1006">
            <v>1</v>
          </cell>
          <cell r="E1006" t="str">
            <v>קשיח</v>
          </cell>
          <cell r="F1006" t="str">
            <v>01.0148</v>
          </cell>
          <cell r="G1006">
            <v>42001</v>
          </cell>
          <cell r="H1006" t="str">
            <v>01.0148</v>
          </cell>
          <cell r="I1006" t="str">
            <v>לוונשטיין טכנולוגיות</v>
          </cell>
          <cell r="J1006">
            <v>0.58009999999999995</v>
          </cell>
          <cell r="K1006" t="str">
            <v>₪</v>
          </cell>
          <cell r="M1006" t="str">
            <v>יח'</v>
          </cell>
        </row>
        <row r="1007">
          <cell r="B1007" t="str">
            <v>MS21209F1-15, INSERT, HELICAL, 10-32 X 1.5D</v>
          </cell>
          <cell r="C1007">
            <v>4295</v>
          </cell>
          <cell r="D1007">
            <v>1</v>
          </cell>
          <cell r="E1007" t="str">
            <v>קשיח</v>
          </cell>
          <cell r="F1007" t="str">
            <v>01.0148</v>
          </cell>
          <cell r="G1007">
            <v>41625</v>
          </cell>
          <cell r="H1007" t="str">
            <v>01.0148</v>
          </cell>
          <cell r="I1007" t="str">
            <v>לוונשטיין טכנולוגיות</v>
          </cell>
          <cell r="J1007">
            <v>0</v>
          </cell>
          <cell r="K1007" t="str">
            <v>₪</v>
          </cell>
          <cell r="M1007" t="str">
            <v>יח'</v>
          </cell>
        </row>
        <row r="1008">
          <cell r="B1008" t="str">
            <v>MS21209F4-15 
 INSERT, HELICAL, 1/4-28 X 1.5D</v>
          </cell>
          <cell r="C1008">
            <v>33228</v>
          </cell>
          <cell r="D1008">
            <v>2</v>
          </cell>
          <cell r="E1008" t="str">
            <v>קשיח</v>
          </cell>
          <cell r="F1008" t="str">
            <v>01.0149</v>
          </cell>
          <cell r="G1008">
            <v>44945</v>
          </cell>
          <cell r="H1008" t="str">
            <v>01.0149</v>
          </cell>
          <cell r="I1008" t="str">
            <v>לוונשטיין טכנולוגיות בע"מ</v>
          </cell>
          <cell r="J1008">
            <v>0.75</v>
          </cell>
          <cell r="K1008" t="str">
            <v>₪</v>
          </cell>
          <cell r="L1008">
            <v>650</v>
          </cell>
          <cell r="M1008" t="str">
            <v>יח'</v>
          </cell>
          <cell r="N1008">
            <v>487.5</v>
          </cell>
        </row>
        <row r="1009">
          <cell r="B1009" t="str">
            <v>MS21209F4-15 
 INSERT,650יח, 1/4-28 X 1.5D</v>
          </cell>
          <cell r="C1009">
            <v>33031</v>
          </cell>
          <cell r="D1009">
            <v>3</v>
          </cell>
          <cell r="E1009" t="str">
            <v>קשיח</v>
          </cell>
          <cell r="F1009" t="str">
            <v>01.0149</v>
          </cell>
          <cell r="G1009">
            <v>44916</v>
          </cell>
          <cell r="H1009" t="str">
            <v>01.0149</v>
          </cell>
          <cell r="I1009" t="str">
            <v>לוונשטיין טכנולוגיות בע"מ</v>
          </cell>
          <cell r="J1009">
            <v>490</v>
          </cell>
          <cell r="K1009" t="str">
            <v>₪</v>
          </cell>
          <cell r="L1009">
            <v>1</v>
          </cell>
          <cell r="M1009" t="str">
            <v>יח'</v>
          </cell>
          <cell r="N1009">
            <v>490</v>
          </cell>
        </row>
        <row r="1010">
          <cell r="B1010" t="str">
            <v>MS21209F4-15 
 INSERT, HELICAL, 1/4-28 X 1.5D</v>
          </cell>
          <cell r="C1010">
            <v>29938</v>
          </cell>
          <cell r="D1010">
            <v>2</v>
          </cell>
          <cell r="E1010" t="str">
            <v>קשיח</v>
          </cell>
          <cell r="F1010" t="str">
            <v>01.0149</v>
          </cell>
          <cell r="G1010">
            <v>44480</v>
          </cell>
          <cell r="H1010" t="str">
            <v>01.0149</v>
          </cell>
          <cell r="I1010" t="str">
            <v>גין מהנדסים בע"מ</v>
          </cell>
          <cell r="J1010">
            <v>0.69010000000000005</v>
          </cell>
          <cell r="K1010" t="str">
            <v>₪</v>
          </cell>
          <cell r="M1010" t="str">
            <v>יח'</v>
          </cell>
        </row>
        <row r="1011">
          <cell r="B1011" t="str">
            <v>MS21209F5-10 
 INSERT, HELICAL, 5/16*24 1.D</v>
          </cell>
          <cell r="C1011">
            <v>42282</v>
          </cell>
          <cell r="D1011">
            <v>2</v>
          </cell>
          <cell r="E1011" t="str">
            <v>קשיח</v>
          </cell>
          <cell r="F1011" t="str">
            <v>01.0150</v>
          </cell>
          <cell r="G1011">
            <v>45938</v>
          </cell>
          <cell r="H1011" t="str">
            <v>01.0150</v>
          </cell>
          <cell r="I1011" t="str">
            <v>דר טכנולוגיות בע"מ</v>
          </cell>
          <cell r="J1011">
            <v>0.8</v>
          </cell>
          <cell r="K1011" t="str">
            <v>₪</v>
          </cell>
          <cell r="L1011">
            <v>200</v>
          </cell>
          <cell r="M1011" t="str">
            <v>יח'</v>
          </cell>
          <cell r="N1011">
            <v>160</v>
          </cell>
        </row>
        <row r="1012">
          <cell r="B1012" t="str">
            <v>MS21209F5-10 
 INSERT, HELICAL, 5/16*24 1.D</v>
          </cell>
          <cell r="C1012">
            <v>41796</v>
          </cell>
          <cell r="D1012">
            <v>2</v>
          </cell>
          <cell r="E1012" t="str">
            <v>קשיח</v>
          </cell>
          <cell r="F1012" t="str">
            <v>01.0150</v>
          </cell>
          <cell r="G1012">
            <v>45882</v>
          </cell>
          <cell r="H1012" t="str">
            <v>01.0150</v>
          </cell>
          <cell r="I1012" t="str">
            <v>לוונשטיין טכנולוגיות בע"מ</v>
          </cell>
          <cell r="J1012">
            <v>1.4</v>
          </cell>
          <cell r="K1012" t="str">
            <v>₪</v>
          </cell>
          <cell r="L1012">
            <v>338</v>
          </cell>
          <cell r="M1012" t="str">
            <v>יח'</v>
          </cell>
          <cell r="N1012">
            <v>473.2</v>
          </cell>
        </row>
        <row r="1013">
          <cell r="B1013" t="str">
            <v>MS21209F5-10 
 INSERT, HELICAL, 5/16*24 1.D</v>
          </cell>
          <cell r="C1013">
            <v>41721</v>
          </cell>
          <cell r="D1013">
            <v>2</v>
          </cell>
          <cell r="E1013" t="str">
            <v>קשיח</v>
          </cell>
          <cell r="F1013" t="str">
            <v>01.0150</v>
          </cell>
          <cell r="G1013">
            <v>45875</v>
          </cell>
          <cell r="H1013" t="str">
            <v>01.0150</v>
          </cell>
          <cell r="I1013" t="str">
            <v>דר טכנולוגיות בע"מ</v>
          </cell>
          <cell r="J1013">
            <v>0.80410000000000004</v>
          </cell>
          <cell r="K1013" t="str">
            <v>₪</v>
          </cell>
          <cell r="L1013">
            <v>200</v>
          </cell>
          <cell r="M1013" t="str">
            <v>יח'</v>
          </cell>
          <cell r="N1013">
            <v>160.82</v>
          </cell>
        </row>
        <row r="1014">
          <cell r="B1014" t="str">
            <v>MS21209F5-10 
 INSERT, HELICAL, 1/4-28 X 1.5D</v>
          </cell>
          <cell r="C1014">
            <v>41613</v>
          </cell>
          <cell r="D1014">
            <v>2</v>
          </cell>
          <cell r="E1014" t="str">
            <v>קשיח</v>
          </cell>
          <cell r="F1014" t="str">
            <v>01.0150</v>
          </cell>
          <cell r="G1014">
            <v>45866</v>
          </cell>
          <cell r="H1014" t="str">
            <v>01.0150</v>
          </cell>
          <cell r="I1014" t="str">
            <v>דר טכנולוגיות בע"מ</v>
          </cell>
          <cell r="J1014">
            <v>0.8</v>
          </cell>
          <cell r="K1014" t="str">
            <v>₪</v>
          </cell>
          <cell r="L1014">
            <v>200</v>
          </cell>
          <cell r="M1014" t="str">
            <v>יח'</v>
          </cell>
          <cell r="N1014">
            <v>160</v>
          </cell>
        </row>
        <row r="1015">
          <cell r="B1015" t="str">
            <v>MS21209F5-10 
 INSERT, HELICAL, 1/4-28 X 1.5D</v>
          </cell>
          <cell r="C1015">
            <v>31061</v>
          </cell>
          <cell r="D1015">
            <v>2</v>
          </cell>
          <cell r="E1015" t="str">
            <v>קשיח</v>
          </cell>
          <cell r="F1015" t="str">
            <v>01.0150</v>
          </cell>
          <cell r="G1015">
            <v>44629</v>
          </cell>
          <cell r="H1015" t="str">
            <v>01.0150</v>
          </cell>
          <cell r="I1015" t="str">
            <v>לוונשטיין טכנולוגיות בע"מ</v>
          </cell>
          <cell r="J1015">
            <v>1.1000000000000001</v>
          </cell>
          <cell r="K1015" t="str">
            <v>₪</v>
          </cell>
          <cell r="L1015">
            <v>200</v>
          </cell>
          <cell r="M1015" t="str">
            <v>יח'</v>
          </cell>
          <cell r="N1015">
            <v>220.00000000000003</v>
          </cell>
        </row>
        <row r="1016">
          <cell r="B1016" t="str">
            <v>TEF GEL 30 gr</v>
          </cell>
          <cell r="C1016">
            <v>42949</v>
          </cell>
          <cell r="D1016">
            <v>1</v>
          </cell>
          <cell r="E1016" t="str">
            <v>קשיח</v>
          </cell>
          <cell r="F1016" t="str">
            <v>01.0152</v>
          </cell>
          <cell r="G1016">
            <v>45998</v>
          </cell>
          <cell r="H1016" t="str">
            <v>01.0152</v>
          </cell>
          <cell r="I1016" t="str">
            <v>מרון יאכטות בע"מ</v>
          </cell>
          <cell r="J1016">
            <v>240</v>
          </cell>
          <cell r="K1016" t="str">
            <v>₪</v>
          </cell>
          <cell r="L1016">
            <v>1</v>
          </cell>
          <cell r="M1016" t="str">
            <v>יח'</v>
          </cell>
          <cell r="N1016">
            <v>240</v>
          </cell>
        </row>
        <row r="1017">
          <cell r="B1017" t="str">
            <v>TEF GEL  TG-16   16 oz JAR</v>
          </cell>
          <cell r="C1017">
            <v>4465</v>
          </cell>
          <cell r="D1017">
            <v>1</v>
          </cell>
          <cell r="E1017" t="str">
            <v>קשיח</v>
          </cell>
          <cell r="F1017" t="str">
            <v>01.0152</v>
          </cell>
          <cell r="G1017">
            <v>41645</v>
          </cell>
          <cell r="H1017" t="str">
            <v>01.0152</v>
          </cell>
          <cell r="I1017" t="str">
            <v>לוונשטיין טכנולוגיות</v>
          </cell>
          <cell r="J1017">
            <v>0</v>
          </cell>
          <cell r="K1017" t="str">
            <v>₪</v>
          </cell>
          <cell r="M1017" t="str">
            <v>יח'</v>
          </cell>
        </row>
        <row r="1018">
          <cell r="B1018" t="str">
            <v>INSERT HC COARES MS21209C1-15L</v>
          </cell>
          <cell r="C1018">
            <v>40361</v>
          </cell>
          <cell r="D1018">
            <v>1</v>
          </cell>
          <cell r="E1018" t="str">
            <v>קשיח</v>
          </cell>
          <cell r="F1018" t="str">
            <v>01.0153</v>
          </cell>
          <cell r="G1018">
            <v>45747</v>
          </cell>
          <cell r="H1018" t="str">
            <v>01.0153</v>
          </cell>
          <cell r="I1018" t="str">
            <v>גין מהנדסים בע"מ</v>
          </cell>
          <cell r="J1018">
            <v>1.2</v>
          </cell>
          <cell r="K1018" t="str">
            <v>₪</v>
          </cell>
          <cell r="L1018">
            <v>100</v>
          </cell>
          <cell r="M1018" t="str">
            <v>יח'</v>
          </cell>
          <cell r="N1018">
            <v>120</v>
          </cell>
        </row>
        <row r="1019">
          <cell r="B1019" t="str">
            <v>MS21209CO820L</v>
          </cell>
          <cell r="C1019">
            <v>31274</v>
          </cell>
          <cell r="D1019">
            <v>1</v>
          </cell>
          <cell r="E1019" t="str">
            <v>קשיח</v>
          </cell>
          <cell r="F1019" t="str">
            <v>01.0156</v>
          </cell>
          <cell r="G1019">
            <v>44657</v>
          </cell>
          <cell r="H1019" t="str">
            <v>01.0156</v>
          </cell>
          <cell r="I1019" t="str">
            <v>לוונשטיין טכנולוגיות בע"מ</v>
          </cell>
          <cell r="J1019">
            <v>2.2000000000000002</v>
          </cell>
          <cell r="K1019" t="str">
            <v>₪</v>
          </cell>
          <cell r="L1019">
            <v>100</v>
          </cell>
          <cell r="M1019" t="str">
            <v>יח'</v>
          </cell>
          <cell r="N1019">
            <v>220.00000000000003</v>
          </cell>
        </row>
        <row r="1020">
          <cell r="B1020" t="str">
            <v>MS21209CO810, INSERT, HELICAL</v>
          </cell>
          <cell r="C1020">
            <v>37074</v>
          </cell>
          <cell r="D1020">
            <v>1</v>
          </cell>
          <cell r="E1020" t="str">
            <v>קשיח</v>
          </cell>
          <cell r="F1020" t="str">
            <v>01.0158</v>
          </cell>
          <cell r="G1020">
            <v>45414</v>
          </cell>
          <cell r="H1020" t="str">
            <v>01.0158</v>
          </cell>
          <cell r="I1020" t="str">
            <v>לוונשטיין טכנולוגיות בע"מ</v>
          </cell>
          <cell r="J1020">
            <v>0.68</v>
          </cell>
          <cell r="K1020" t="str">
            <v>₪</v>
          </cell>
          <cell r="L1020">
            <v>1000</v>
          </cell>
          <cell r="M1020" t="str">
            <v>יח'</v>
          </cell>
          <cell r="N1020">
            <v>680</v>
          </cell>
        </row>
        <row r="1021">
          <cell r="B1021" t="str">
            <v>MS21209CO810, INSERT, HELICAL</v>
          </cell>
          <cell r="C1021">
            <v>34608</v>
          </cell>
          <cell r="D1021">
            <v>1</v>
          </cell>
          <cell r="E1021" t="str">
            <v>קשיח</v>
          </cell>
          <cell r="F1021" t="str">
            <v>01.0158</v>
          </cell>
          <cell r="G1021">
            <v>45132</v>
          </cell>
          <cell r="H1021" t="str">
            <v>01.0158</v>
          </cell>
          <cell r="I1021" t="str">
            <v>דר טכנולוגיות בע"מ</v>
          </cell>
          <cell r="J1021">
            <v>0.49</v>
          </cell>
          <cell r="K1021" t="str">
            <v>₪</v>
          </cell>
          <cell r="L1021">
            <v>10000</v>
          </cell>
          <cell r="M1021" t="str">
            <v>יח'</v>
          </cell>
          <cell r="N1021">
            <v>4900</v>
          </cell>
        </row>
        <row r="1022">
          <cell r="B1022" t="str">
            <v>MS21209CO810, INSERT, HELICAL</v>
          </cell>
          <cell r="C1022">
            <v>34548</v>
          </cell>
          <cell r="D1022">
            <v>1</v>
          </cell>
          <cell r="E1022" t="str">
            <v>קשיח</v>
          </cell>
          <cell r="F1022" t="str">
            <v>01.0158</v>
          </cell>
          <cell r="G1022">
            <v>45126</v>
          </cell>
          <cell r="H1022" t="str">
            <v>01.0158</v>
          </cell>
          <cell r="I1022" t="str">
            <v>דר טכנולוגיות בע"מ</v>
          </cell>
          <cell r="J1022">
            <v>0.49</v>
          </cell>
          <cell r="K1022" t="str">
            <v>₪</v>
          </cell>
          <cell r="L1022">
            <v>3000</v>
          </cell>
          <cell r="M1022" t="str">
            <v>יח'</v>
          </cell>
          <cell r="N1022">
            <v>1470</v>
          </cell>
        </row>
        <row r="1023">
          <cell r="B1023" t="str">
            <v>MS21209CO810, INSERT, HELICAL</v>
          </cell>
          <cell r="C1023">
            <v>34219</v>
          </cell>
          <cell r="D1023">
            <v>3</v>
          </cell>
          <cell r="E1023" t="str">
            <v>קשיח</v>
          </cell>
          <cell r="F1023" t="str">
            <v>01.0158</v>
          </cell>
          <cell r="G1023">
            <v>45092</v>
          </cell>
          <cell r="H1023" t="str">
            <v>01.0158</v>
          </cell>
          <cell r="I1023" t="str">
            <v>דר טכנולוגיות בע"מ</v>
          </cell>
          <cell r="J1023">
            <v>0.49</v>
          </cell>
          <cell r="K1023" t="str">
            <v>₪</v>
          </cell>
          <cell r="L1023">
            <v>1000</v>
          </cell>
          <cell r="M1023" t="str">
            <v>יח'</v>
          </cell>
          <cell r="N1023">
            <v>490</v>
          </cell>
        </row>
        <row r="1024">
          <cell r="B1024" t="str">
            <v>MS21209CO810, INSERT, HELICAL</v>
          </cell>
          <cell r="C1024">
            <v>33498</v>
          </cell>
          <cell r="D1024">
            <v>1</v>
          </cell>
          <cell r="E1024" t="str">
            <v>קשיח</v>
          </cell>
          <cell r="F1024" t="str">
            <v>01.0158</v>
          </cell>
          <cell r="G1024">
            <v>44986</v>
          </cell>
          <cell r="H1024" t="str">
            <v>01.0158</v>
          </cell>
          <cell r="I1024" t="str">
            <v>לוונשטיין טכנולוגיות בע"מ</v>
          </cell>
          <cell r="J1024">
            <v>0.51939999999999997</v>
          </cell>
          <cell r="K1024" t="str">
            <v>₪</v>
          </cell>
          <cell r="L1024">
            <v>2000</v>
          </cell>
          <cell r="M1024" t="str">
            <v>יח'</v>
          </cell>
          <cell r="N1024">
            <v>1038.8</v>
          </cell>
        </row>
        <row r="1025">
          <cell r="B1025" t="str">
            <v>MS21209CO810, INSERT, HELICAL</v>
          </cell>
          <cell r="C1025">
            <v>33484</v>
          </cell>
          <cell r="D1025">
            <v>2</v>
          </cell>
          <cell r="E1025" t="str">
            <v>קשיח</v>
          </cell>
          <cell r="F1025" t="str">
            <v>01.0158</v>
          </cell>
          <cell r="G1025">
            <v>44983</v>
          </cell>
          <cell r="H1025" t="str">
            <v>01.0158</v>
          </cell>
          <cell r="I1025" t="str">
            <v>לוונשטיין טכנולוגיות בע"מ</v>
          </cell>
          <cell r="J1025">
            <v>0.52</v>
          </cell>
          <cell r="K1025" t="str">
            <v>₪</v>
          </cell>
          <cell r="L1025">
            <v>1000</v>
          </cell>
          <cell r="M1025" t="str">
            <v>יח'</v>
          </cell>
          <cell r="N1025">
            <v>520</v>
          </cell>
        </row>
        <row r="1026">
          <cell r="B1026" t="str">
            <v>MS21209CO810, INSERT, HELICAL</v>
          </cell>
          <cell r="C1026">
            <v>33176</v>
          </cell>
          <cell r="D1026">
            <v>1</v>
          </cell>
          <cell r="E1026" t="str">
            <v>קשיח</v>
          </cell>
          <cell r="F1026" t="str">
            <v>01.0158</v>
          </cell>
          <cell r="G1026">
            <v>44937</v>
          </cell>
          <cell r="H1026" t="str">
            <v>01.0158</v>
          </cell>
          <cell r="I1026" t="str">
            <v>דר טכנולוגיות בע"מ</v>
          </cell>
          <cell r="J1026">
            <v>0.44</v>
          </cell>
          <cell r="K1026" t="str">
            <v>₪</v>
          </cell>
          <cell r="L1026">
            <v>3000</v>
          </cell>
          <cell r="M1026" t="str">
            <v>יח'</v>
          </cell>
          <cell r="N1026">
            <v>1320</v>
          </cell>
        </row>
        <row r="1027">
          <cell r="B1027" t="str">
            <v>MS21209CO810, INSERT, HELICAL</v>
          </cell>
          <cell r="C1027">
            <v>32871</v>
          </cell>
          <cell r="D1027">
            <v>1</v>
          </cell>
          <cell r="E1027" t="str">
            <v>קשיח</v>
          </cell>
          <cell r="F1027" t="str">
            <v>01.0158</v>
          </cell>
          <cell r="G1027">
            <v>44892</v>
          </cell>
          <cell r="H1027" t="str">
            <v>01.0158</v>
          </cell>
          <cell r="I1027" t="str">
            <v>דר טכנולוגיות בע"מ</v>
          </cell>
          <cell r="J1027">
            <v>0.44</v>
          </cell>
          <cell r="K1027" t="str">
            <v>₪</v>
          </cell>
          <cell r="L1027">
            <v>1000</v>
          </cell>
          <cell r="M1027" t="str">
            <v>יח'</v>
          </cell>
          <cell r="N1027">
            <v>440</v>
          </cell>
        </row>
        <row r="1028">
          <cell r="B1028" t="str">
            <v>MS21209CO810, INSERT, HELICAL</v>
          </cell>
          <cell r="C1028">
            <v>32031</v>
          </cell>
          <cell r="D1028">
            <v>1</v>
          </cell>
          <cell r="E1028" t="str">
            <v>קשיח</v>
          </cell>
          <cell r="F1028" t="str">
            <v>01.0158</v>
          </cell>
          <cell r="G1028">
            <v>44766</v>
          </cell>
          <cell r="H1028" t="str">
            <v>01.0158</v>
          </cell>
          <cell r="I1028" t="str">
            <v>לוונשטיין טכנולוגיות בע"מ</v>
          </cell>
          <cell r="J1028">
            <v>0.49</v>
          </cell>
          <cell r="K1028" t="str">
            <v>₪</v>
          </cell>
          <cell r="L1028">
            <v>1000</v>
          </cell>
          <cell r="M1028" t="str">
            <v>יח'</v>
          </cell>
          <cell r="N1028">
            <v>490</v>
          </cell>
        </row>
        <row r="1029">
          <cell r="B1029" t="str">
            <v>MS21209CO810, INSERT, HELICAL</v>
          </cell>
          <cell r="C1029">
            <v>31463</v>
          </cell>
          <cell r="D1029">
            <v>1</v>
          </cell>
          <cell r="E1029" t="str">
            <v>קשיח</v>
          </cell>
          <cell r="F1029" t="str">
            <v>01.0158</v>
          </cell>
          <cell r="G1029">
            <v>44689</v>
          </cell>
          <cell r="H1029" t="str">
            <v>01.0158</v>
          </cell>
          <cell r="I1029" t="str">
            <v>לוונשטיין טכנולוגיות בע"מ</v>
          </cell>
          <cell r="J1029">
            <v>0.49</v>
          </cell>
          <cell r="K1029" t="str">
            <v>₪</v>
          </cell>
          <cell r="L1029">
            <v>2000</v>
          </cell>
          <cell r="M1029" t="str">
            <v>יח'</v>
          </cell>
          <cell r="N1029">
            <v>980</v>
          </cell>
        </row>
        <row r="1030">
          <cell r="B1030" t="str">
            <v>MS21209CO810, INSERT, HELICAL</v>
          </cell>
          <cell r="C1030">
            <v>24635</v>
          </cell>
          <cell r="D1030">
            <v>2</v>
          </cell>
          <cell r="E1030" t="str">
            <v>קשיח</v>
          </cell>
          <cell r="F1030" t="str">
            <v>01.0158</v>
          </cell>
          <cell r="G1030">
            <v>43716</v>
          </cell>
          <cell r="H1030" t="str">
            <v>01.0158</v>
          </cell>
          <cell r="I1030" t="str">
            <v>דר טכנולוגיות בע"מ</v>
          </cell>
          <cell r="J1030">
            <v>0.44879999999999998</v>
          </cell>
          <cell r="K1030" t="str">
            <v>₪</v>
          </cell>
          <cell r="L1030">
            <v>1000</v>
          </cell>
          <cell r="M1030" t="str">
            <v>יח'</v>
          </cell>
          <cell r="N1030">
            <v>448.79999999999995</v>
          </cell>
        </row>
        <row r="1031">
          <cell r="B1031" t="str">
            <v>MS21209CO810, INSERT, HELICAL</v>
          </cell>
          <cell r="C1031">
            <v>23536</v>
          </cell>
          <cell r="D1031">
            <v>2</v>
          </cell>
          <cell r="E1031" t="str">
            <v>קשיח</v>
          </cell>
          <cell r="F1031" t="str">
            <v>01.0158</v>
          </cell>
          <cell r="G1031">
            <v>43577</v>
          </cell>
          <cell r="H1031" t="str">
            <v>01.0158</v>
          </cell>
          <cell r="I1031" t="str">
            <v>דר טכנולוגיות בע"מ</v>
          </cell>
          <cell r="J1031">
            <v>0.45</v>
          </cell>
          <cell r="K1031" t="str">
            <v>₪</v>
          </cell>
          <cell r="L1031">
            <v>1000</v>
          </cell>
          <cell r="M1031" t="str">
            <v>יח'</v>
          </cell>
          <cell r="N1031">
            <v>450</v>
          </cell>
        </row>
        <row r="1032">
          <cell r="B1032" t="str">
            <v>MS122121</v>
          </cell>
          <cell r="C1032">
            <v>37139</v>
          </cell>
          <cell r="D1032">
            <v>1</v>
          </cell>
          <cell r="E1032" t="str">
            <v>קשיח</v>
          </cell>
          <cell r="F1032" t="str">
            <v>01.0159</v>
          </cell>
          <cell r="G1032">
            <v>45420</v>
          </cell>
          <cell r="H1032" t="str">
            <v>01.0159</v>
          </cell>
          <cell r="I1032" t="str">
            <v>לוונשטיין טכנולוגיות בע"מ</v>
          </cell>
          <cell r="J1032">
            <v>1.3</v>
          </cell>
          <cell r="K1032" t="str">
            <v>₪</v>
          </cell>
          <cell r="L1032">
            <v>1100</v>
          </cell>
          <cell r="M1032" t="str">
            <v>יח'</v>
          </cell>
          <cell r="N1032">
            <v>1430</v>
          </cell>
        </row>
        <row r="1033">
          <cell r="B1033" t="str">
            <v>MS122121</v>
          </cell>
          <cell r="C1033">
            <v>36873</v>
          </cell>
          <cell r="D1033">
            <v>1</v>
          </cell>
          <cell r="E1033" t="str">
            <v>קשיח</v>
          </cell>
          <cell r="F1033" t="str">
            <v>01.0159</v>
          </cell>
          <cell r="G1033">
            <v>45390</v>
          </cell>
          <cell r="H1033" t="str">
            <v>01.0159</v>
          </cell>
          <cell r="I1033" t="str">
            <v>לוונשטיין טכנולוגיות בע"מ</v>
          </cell>
          <cell r="J1033">
            <v>1.3</v>
          </cell>
          <cell r="K1033" t="str">
            <v>₪</v>
          </cell>
          <cell r="L1033">
            <v>1100</v>
          </cell>
          <cell r="M1033" t="str">
            <v>יח'</v>
          </cell>
          <cell r="N1033">
            <v>1430</v>
          </cell>
        </row>
        <row r="1034">
          <cell r="B1034" t="str">
            <v>MS122121</v>
          </cell>
          <cell r="C1034">
            <v>29893</v>
          </cell>
          <cell r="D1034">
            <v>2</v>
          </cell>
          <cell r="E1034" t="str">
            <v>קשיח</v>
          </cell>
          <cell r="F1034" t="str">
            <v>01.0159</v>
          </cell>
          <cell r="G1034">
            <v>44475</v>
          </cell>
          <cell r="H1034" t="str">
            <v>01.0159</v>
          </cell>
          <cell r="I1034" t="str">
            <v>לוונשטיין טכנולוגיות בע"מ</v>
          </cell>
          <cell r="J1034">
            <v>1</v>
          </cell>
          <cell r="K1034" t="str">
            <v>₪</v>
          </cell>
          <cell r="L1034">
            <v>300</v>
          </cell>
          <cell r="M1034" t="str">
            <v>יח'</v>
          </cell>
          <cell r="N1034">
            <v>300</v>
          </cell>
        </row>
        <row r="1035">
          <cell r="B1035" t="str">
            <v>MS122121</v>
          </cell>
          <cell r="C1035">
            <v>18777</v>
          </cell>
          <cell r="D1035">
            <v>5</v>
          </cell>
          <cell r="E1035" t="str">
            <v>קשיח</v>
          </cell>
          <cell r="F1035" t="str">
            <v>01.0159</v>
          </cell>
          <cell r="G1035">
            <v>43121</v>
          </cell>
          <cell r="H1035" t="str">
            <v>01.0159</v>
          </cell>
          <cell r="I1035" t="str">
            <v>גין מהנדסים בע"מ</v>
          </cell>
          <cell r="J1035">
            <v>0</v>
          </cell>
          <cell r="K1035" t="str">
            <v>₪</v>
          </cell>
          <cell r="M1035" t="str">
            <v>יח'</v>
          </cell>
        </row>
        <row r="1036">
          <cell r="B1036" t="str">
            <v>MS122121</v>
          </cell>
          <cell r="C1036">
            <v>18625</v>
          </cell>
          <cell r="D1036">
            <v>9</v>
          </cell>
          <cell r="E1036" t="str">
            <v>קשיח</v>
          </cell>
          <cell r="F1036" t="str">
            <v>01.0159</v>
          </cell>
          <cell r="G1036">
            <v>43104</v>
          </cell>
          <cell r="H1036" t="str">
            <v>01.0159</v>
          </cell>
          <cell r="I1036" t="str">
            <v>גין מהנדסים בע"מ</v>
          </cell>
          <cell r="J1036">
            <v>0</v>
          </cell>
          <cell r="K1036" t="str">
            <v>₪</v>
          </cell>
          <cell r="M1036" t="str">
            <v>יח'</v>
          </cell>
        </row>
        <row r="1037">
          <cell r="B1037" t="str">
            <v>MS51831-206</v>
          </cell>
          <cell r="C1037">
            <v>40526</v>
          </cell>
          <cell r="D1037">
            <v>1</v>
          </cell>
          <cell r="E1037" t="str">
            <v>קשיח</v>
          </cell>
          <cell r="F1037" t="str">
            <v>01.0161</v>
          </cell>
          <cell r="G1037">
            <v>45762</v>
          </cell>
          <cell r="H1037" t="str">
            <v>01.0161</v>
          </cell>
          <cell r="I1037" t="str">
            <v>גין מהנדסים בע"מ</v>
          </cell>
          <cell r="J1037">
            <v>12</v>
          </cell>
          <cell r="K1037" t="str">
            <v>₪</v>
          </cell>
          <cell r="L1037">
            <v>450</v>
          </cell>
          <cell r="M1037" t="str">
            <v>יח'</v>
          </cell>
          <cell r="N1037">
            <v>5400</v>
          </cell>
        </row>
        <row r="1038">
          <cell r="B1038" t="str">
            <v>MS51831-206</v>
          </cell>
          <cell r="C1038">
            <v>39415</v>
          </cell>
          <cell r="D1038">
            <v>1</v>
          </cell>
          <cell r="E1038" t="str">
            <v>קשיח</v>
          </cell>
          <cell r="F1038" t="str">
            <v>01.0161</v>
          </cell>
          <cell r="G1038">
            <v>45683</v>
          </cell>
          <cell r="H1038" t="str">
            <v>01.0161</v>
          </cell>
          <cell r="I1038" t="str">
            <v>גין מהנדסים בע"מ</v>
          </cell>
          <cell r="J1038">
            <v>12</v>
          </cell>
          <cell r="K1038" t="str">
            <v>₪</v>
          </cell>
          <cell r="L1038">
            <v>850</v>
          </cell>
          <cell r="M1038" t="str">
            <v>יח'</v>
          </cell>
          <cell r="N1038">
            <v>10200</v>
          </cell>
        </row>
        <row r="1039">
          <cell r="B1039" t="str">
            <v>MS51831-206</v>
          </cell>
          <cell r="C1039">
            <v>39415</v>
          </cell>
          <cell r="D1039">
            <v>4</v>
          </cell>
          <cell r="E1039" t="str">
            <v>קשיח</v>
          </cell>
          <cell r="F1039" t="str">
            <v>01.0161</v>
          </cell>
          <cell r="G1039">
            <v>45683</v>
          </cell>
          <cell r="H1039" t="str">
            <v>01.0161</v>
          </cell>
          <cell r="I1039" t="str">
            <v>גין מהנדסים בע"מ</v>
          </cell>
          <cell r="J1039">
            <v>12</v>
          </cell>
          <cell r="K1039" t="str">
            <v>₪</v>
          </cell>
          <cell r="L1039">
            <v>825</v>
          </cell>
          <cell r="M1039" t="str">
            <v>יח'</v>
          </cell>
          <cell r="N1039">
            <v>9900</v>
          </cell>
        </row>
        <row r="1040">
          <cell r="B1040" t="str">
            <v>MS51831-206</v>
          </cell>
          <cell r="C1040">
            <v>39461</v>
          </cell>
          <cell r="D1040">
            <v>1</v>
          </cell>
          <cell r="E1040" t="str">
            <v>קשיח</v>
          </cell>
          <cell r="F1040" t="str">
            <v>01.0161</v>
          </cell>
          <cell r="G1040">
            <v>45669</v>
          </cell>
          <cell r="H1040" t="str">
            <v>01.0161</v>
          </cell>
          <cell r="I1040" t="str">
            <v>לוונשטיין טכנולוגיות בע"מ</v>
          </cell>
          <cell r="J1040">
            <v>12</v>
          </cell>
          <cell r="K1040" t="str">
            <v>₪</v>
          </cell>
          <cell r="L1040">
            <v>736</v>
          </cell>
          <cell r="M1040" t="str">
            <v>יח'</v>
          </cell>
          <cell r="N1040">
            <v>8832</v>
          </cell>
        </row>
        <row r="1041">
          <cell r="B1041" t="str">
            <v>MS51831-206</v>
          </cell>
          <cell r="C1041">
            <v>39259</v>
          </cell>
          <cell r="D1041">
            <v>1</v>
          </cell>
          <cell r="E1041" t="str">
            <v>קשיח</v>
          </cell>
          <cell r="F1041" t="str">
            <v>01.0161</v>
          </cell>
          <cell r="G1041">
            <v>45650</v>
          </cell>
          <cell r="H1041" t="str">
            <v>01.0161</v>
          </cell>
          <cell r="I1041" t="str">
            <v>דר טכנולוגיות בע"מ</v>
          </cell>
          <cell r="J1041">
            <v>11.8</v>
          </cell>
          <cell r="K1041" t="str">
            <v>₪</v>
          </cell>
          <cell r="L1041">
            <v>300</v>
          </cell>
          <cell r="M1041" t="str">
            <v>יח'</v>
          </cell>
          <cell r="N1041">
            <v>3540</v>
          </cell>
        </row>
        <row r="1042">
          <cell r="B1042" t="str">
            <v>MS51831-206</v>
          </cell>
          <cell r="C1042">
            <v>39202</v>
          </cell>
          <cell r="D1042">
            <v>1</v>
          </cell>
          <cell r="E1042" t="str">
            <v>קשיח</v>
          </cell>
          <cell r="F1042" t="str">
            <v>01.0161</v>
          </cell>
          <cell r="G1042">
            <v>45645</v>
          </cell>
          <cell r="H1042" t="str">
            <v>01.0161</v>
          </cell>
          <cell r="I1042" t="str">
            <v>דר טכנולוגיות בע"מ</v>
          </cell>
          <cell r="J1042">
            <v>11.8</v>
          </cell>
          <cell r="K1042" t="str">
            <v>₪</v>
          </cell>
          <cell r="L1042">
            <v>150</v>
          </cell>
          <cell r="M1042" t="str">
            <v>יח'</v>
          </cell>
          <cell r="N1042">
            <v>1770</v>
          </cell>
        </row>
        <row r="1043">
          <cell r="B1043" t="str">
            <v>MS51831-206</v>
          </cell>
          <cell r="C1043">
            <v>38680</v>
          </cell>
          <cell r="D1043">
            <v>1</v>
          </cell>
          <cell r="E1043" t="str">
            <v>קשיח</v>
          </cell>
          <cell r="F1043" t="str">
            <v>01.0161</v>
          </cell>
          <cell r="G1043">
            <v>45595</v>
          </cell>
          <cell r="H1043" t="str">
            <v>01.0161</v>
          </cell>
          <cell r="I1043" t="str">
            <v>דר טכנולוגיות בע"מ</v>
          </cell>
          <cell r="J1043">
            <v>11.8</v>
          </cell>
          <cell r="K1043" t="str">
            <v>₪</v>
          </cell>
          <cell r="L1043">
            <v>250</v>
          </cell>
          <cell r="M1043" t="str">
            <v>יח'</v>
          </cell>
          <cell r="N1043">
            <v>2950</v>
          </cell>
        </row>
        <row r="1044">
          <cell r="B1044" t="str">
            <v>MS51831-206</v>
          </cell>
          <cell r="C1044">
            <v>38078</v>
          </cell>
          <cell r="D1044">
            <v>3</v>
          </cell>
          <cell r="E1044" t="str">
            <v>קשיח</v>
          </cell>
          <cell r="F1044" t="str">
            <v>01.0161</v>
          </cell>
          <cell r="G1044">
            <v>45522</v>
          </cell>
          <cell r="H1044" t="str">
            <v>01.0161</v>
          </cell>
          <cell r="I1044" t="str">
            <v>גין מהנדסים בע"מ</v>
          </cell>
          <cell r="J1044">
            <v>15</v>
          </cell>
          <cell r="K1044" t="str">
            <v>₪</v>
          </cell>
          <cell r="L1044">
            <v>20</v>
          </cell>
          <cell r="M1044" t="str">
            <v>יח'</v>
          </cell>
          <cell r="N1044">
            <v>300</v>
          </cell>
        </row>
        <row r="1045">
          <cell r="B1045" t="str">
            <v>MS51831-206</v>
          </cell>
          <cell r="C1045">
            <v>30312</v>
          </cell>
          <cell r="D1045">
            <v>1</v>
          </cell>
          <cell r="E1045" t="str">
            <v>קשיח</v>
          </cell>
          <cell r="F1045" t="str">
            <v>01.0161</v>
          </cell>
          <cell r="G1045">
            <v>44528</v>
          </cell>
          <cell r="H1045" t="str">
            <v>01.0161</v>
          </cell>
          <cell r="I1045" t="str">
            <v>גין מהנדסים בע"מ</v>
          </cell>
          <cell r="J1045">
            <v>10.5</v>
          </cell>
          <cell r="K1045" t="str">
            <v>₪</v>
          </cell>
          <cell r="L1045">
            <v>300</v>
          </cell>
          <cell r="M1045" t="str">
            <v>יח'</v>
          </cell>
          <cell r="N1045">
            <v>3150</v>
          </cell>
        </row>
        <row r="1046">
          <cell r="B1046" t="str">
            <v>MS51831-206</v>
          </cell>
          <cell r="C1046">
            <v>24617</v>
          </cell>
          <cell r="D1046">
            <v>2</v>
          </cell>
          <cell r="E1046" t="str">
            <v>קשיח</v>
          </cell>
          <cell r="F1046" t="str">
            <v>01.0161</v>
          </cell>
          <cell r="G1046">
            <v>43710</v>
          </cell>
          <cell r="H1046" t="str">
            <v>01.0161</v>
          </cell>
          <cell r="I1046" t="str">
            <v>גין מהנדסים בע"מ</v>
          </cell>
          <cell r="J1046">
            <v>11.62</v>
          </cell>
          <cell r="K1046" t="str">
            <v>₪</v>
          </cell>
          <cell r="L1046">
            <v>150</v>
          </cell>
          <cell r="M1046" t="str">
            <v>יח'</v>
          </cell>
          <cell r="N1046">
            <v>1742.9999999999998</v>
          </cell>
        </row>
        <row r="1047">
          <cell r="B1047" t="str">
            <v>MS21209C0820, INSERT, HELICAL, 8-32 X 2D</v>
          </cell>
          <cell r="C1047">
            <v>43134</v>
          </cell>
          <cell r="D1047">
            <v>1</v>
          </cell>
          <cell r="E1047" t="str">
            <v>קשיח</v>
          </cell>
          <cell r="F1047" t="str">
            <v>01.0180</v>
          </cell>
          <cell r="G1047">
            <v>46012</v>
          </cell>
          <cell r="H1047" t="str">
            <v>01.0180</v>
          </cell>
          <cell r="I1047" t="str">
            <v>דר טכנולוגיות בע"מ</v>
          </cell>
          <cell r="J1047">
            <v>0.6</v>
          </cell>
          <cell r="K1047" t="str">
            <v>₪</v>
          </cell>
          <cell r="L1047">
            <v>1000</v>
          </cell>
          <cell r="M1047" t="str">
            <v>יח'</v>
          </cell>
          <cell r="N1047">
            <v>600</v>
          </cell>
        </row>
        <row r="1048">
          <cell r="B1048" t="str">
            <v>MS21209C0820, INSERT, HELICAL, 8-32 X 2D</v>
          </cell>
          <cell r="C1048">
            <v>42988</v>
          </cell>
          <cell r="D1048">
            <v>1</v>
          </cell>
          <cell r="E1048" t="str">
            <v>קשיח</v>
          </cell>
          <cell r="F1048" t="str">
            <v>01.0180</v>
          </cell>
          <cell r="G1048">
            <v>45999</v>
          </cell>
          <cell r="H1048" t="str">
            <v>01.0180</v>
          </cell>
          <cell r="I1048" t="str">
            <v>דר טכנולוגיות בע"מ</v>
          </cell>
          <cell r="J1048">
            <v>0.6</v>
          </cell>
          <cell r="K1048" t="str">
            <v>₪</v>
          </cell>
          <cell r="L1048">
            <v>1000</v>
          </cell>
          <cell r="M1048" t="str">
            <v>יח'</v>
          </cell>
          <cell r="N1048">
            <v>600</v>
          </cell>
        </row>
        <row r="1049">
          <cell r="B1049" t="str">
            <v>MS21209C0820, INSERT, HELICAL, 8-32 X 2D</v>
          </cell>
          <cell r="C1049">
            <v>33098</v>
          </cell>
          <cell r="D1049">
            <v>1</v>
          </cell>
          <cell r="E1049" t="str">
            <v>קשיח</v>
          </cell>
          <cell r="F1049" t="str">
            <v>01.0180</v>
          </cell>
          <cell r="G1049">
            <v>44928</v>
          </cell>
          <cell r="H1049" t="str">
            <v>01.0180</v>
          </cell>
          <cell r="I1049" t="str">
            <v>דר טכנולוגיות בע"מ</v>
          </cell>
          <cell r="J1049">
            <v>0.6</v>
          </cell>
          <cell r="K1049" t="str">
            <v>₪</v>
          </cell>
          <cell r="L1049">
            <v>1000</v>
          </cell>
          <cell r="M1049" t="str">
            <v>יח'</v>
          </cell>
          <cell r="N1049">
            <v>600</v>
          </cell>
        </row>
        <row r="1050">
          <cell r="B1050" t="str">
            <v>MS122080 H.C 10-24UNC FR</v>
          </cell>
          <cell r="C1050">
            <v>39484</v>
          </cell>
          <cell r="D1050">
            <v>1</v>
          </cell>
          <cell r="E1050" t="str">
            <v>קשיח</v>
          </cell>
          <cell r="F1050" t="str">
            <v>01.0181</v>
          </cell>
          <cell r="G1050">
            <v>45670</v>
          </cell>
          <cell r="H1050" t="str">
            <v>01.0181</v>
          </cell>
          <cell r="I1050" t="str">
            <v>דר טכנולוגיות בע"מ</v>
          </cell>
          <cell r="J1050">
            <v>0.65</v>
          </cell>
          <cell r="K1050" t="str">
            <v>₪</v>
          </cell>
          <cell r="L1050">
            <v>100</v>
          </cell>
          <cell r="M1050" t="str">
            <v>יח'</v>
          </cell>
          <cell r="N1050">
            <v>65</v>
          </cell>
        </row>
        <row r="1051">
          <cell r="B1051" t="str">
            <v>MS122080</v>
          </cell>
          <cell r="C1051">
            <v>18777</v>
          </cell>
          <cell r="D1051">
            <v>4</v>
          </cell>
          <cell r="E1051" t="str">
            <v>קשיח</v>
          </cell>
          <cell r="F1051" t="str">
            <v>01.0181</v>
          </cell>
          <cell r="G1051">
            <v>43121</v>
          </cell>
          <cell r="H1051" t="str">
            <v>01.0181</v>
          </cell>
          <cell r="I1051" t="str">
            <v>גין מהנדסים בע"מ</v>
          </cell>
          <cell r="J1051">
            <v>3.9</v>
          </cell>
          <cell r="K1051" t="str">
            <v>₪</v>
          </cell>
          <cell r="M1051" t="str">
            <v>יח'</v>
          </cell>
        </row>
        <row r="1052">
          <cell r="B1052" t="str">
            <v>MS122080</v>
          </cell>
          <cell r="C1052">
            <v>18625</v>
          </cell>
          <cell r="D1052">
            <v>11</v>
          </cell>
          <cell r="E1052" t="str">
            <v>קשיח</v>
          </cell>
          <cell r="F1052" t="str">
            <v>01.0181</v>
          </cell>
          <cell r="G1052">
            <v>43104</v>
          </cell>
          <cell r="H1052" t="str">
            <v>01.0181</v>
          </cell>
          <cell r="I1052" t="str">
            <v>גין מהנדסים בע"מ</v>
          </cell>
          <cell r="J1052">
            <v>3.9</v>
          </cell>
          <cell r="K1052" t="str">
            <v>₪</v>
          </cell>
          <cell r="M1052" t="str">
            <v>יח'</v>
          </cell>
        </row>
        <row r="1053">
          <cell r="B1053" t="str">
            <v>MS21209CO810L</v>
          </cell>
          <cell r="C1053">
            <v>33131</v>
          </cell>
          <cell r="D1053">
            <v>1</v>
          </cell>
          <cell r="E1053" t="str">
            <v>קשיח</v>
          </cell>
          <cell r="F1053" t="str">
            <v>01.0183</v>
          </cell>
          <cell r="G1053">
            <v>44931</v>
          </cell>
          <cell r="H1053" t="str">
            <v>01.0183</v>
          </cell>
          <cell r="I1053" t="str">
            <v>לוונשטיין טכנולוגיות בע"מ</v>
          </cell>
          <cell r="J1053">
            <v>0.95</v>
          </cell>
          <cell r="K1053" t="str">
            <v>₪</v>
          </cell>
          <cell r="L1053">
            <v>2000</v>
          </cell>
          <cell r="M1053" t="str">
            <v>יח'</v>
          </cell>
          <cell r="N1053">
            <v>1900</v>
          </cell>
        </row>
        <row r="1054">
          <cell r="B1054" t="str">
            <v>MS21209CO810L</v>
          </cell>
          <cell r="C1054">
            <v>31267</v>
          </cell>
          <cell r="D1054">
            <v>1</v>
          </cell>
          <cell r="E1054" t="str">
            <v>קשיח</v>
          </cell>
          <cell r="F1054" t="str">
            <v>01.0183</v>
          </cell>
          <cell r="G1054">
            <v>44656</v>
          </cell>
          <cell r="H1054" t="str">
            <v>01.0183</v>
          </cell>
          <cell r="I1054" t="str">
            <v>דר טכנולוגיות בע"מ</v>
          </cell>
          <cell r="J1054">
            <v>1.5</v>
          </cell>
          <cell r="K1054" t="str">
            <v>₪</v>
          </cell>
          <cell r="L1054">
            <v>100</v>
          </cell>
          <cell r="M1054" t="str">
            <v>יח'</v>
          </cell>
          <cell r="N1054">
            <v>150</v>
          </cell>
        </row>
        <row r="1055">
          <cell r="B1055" t="str">
            <v>MS21209CO810L</v>
          </cell>
          <cell r="C1055">
            <v>30590</v>
          </cell>
          <cell r="D1055">
            <v>1</v>
          </cell>
          <cell r="E1055" t="str">
            <v>קשיח</v>
          </cell>
          <cell r="F1055" t="str">
            <v>01.0183</v>
          </cell>
          <cell r="G1055">
            <v>44563</v>
          </cell>
          <cell r="H1055" t="str">
            <v>01.0183</v>
          </cell>
          <cell r="I1055" t="str">
            <v>גין מהנדסים בע"מ</v>
          </cell>
          <cell r="J1055">
            <v>0.7</v>
          </cell>
          <cell r="K1055" t="str">
            <v>₪</v>
          </cell>
          <cell r="L1055">
            <v>1000</v>
          </cell>
          <cell r="M1055" t="str">
            <v>יח'</v>
          </cell>
          <cell r="N1055">
            <v>700</v>
          </cell>
        </row>
        <row r="1056">
          <cell r="B1056" t="str">
            <v>MS21209CO810L</v>
          </cell>
          <cell r="C1056">
            <v>29499</v>
          </cell>
          <cell r="D1056">
            <v>1</v>
          </cell>
          <cell r="E1056" t="str">
            <v>קשיח</v>
          </cell>
          <cell r="F1056" t="str">
            <v>01.0183</v>
          </cell>
          <cell r="G1056">
            <v>44413</v>
          </cell>
          <cell r="H1056" t="str">
            <v>01.0183</v>
          </cell>
          <cell r="I1056" t="str">
            <v>דר טכנולוגיות בע"מ</v>
          </cell>
          <cell r="J1056">
            <v>1.2</v>
          </cell>
          <cell r="K1056" t="str">
            <v>₪</v>
          </cell>
          <cell r="L1056">
            <v>1000</v>
          </cell>
          <cell r="M1056" t="str">
            <v>יח'</v>
          </cell>
          <cell r="N1056">
            <v>1200</v>
          </cell>
        </row>
        <row r="1057">
          <cell r="B1057" t="str">
            <v>MS21209CO810L</v>
          </cell>
          <cell r="C1057">
            <v>26560</v>
          </cell>
          <cell r="D1057">
            <v>1</v>
          </cell>
          <cell r="E1057" t="str">
            <v>קשיח</v>
          </cell>
          <cell r="F1057" t="str">
            <v>01.0183</v>
          </cell>
          <cell r="G1057">
            <v>44017</v>
          </cell>
          <cell r="H1057" t="str">
            <v>01.0183</v>
          </cell>
          <cell r="I1057" t="str">
            <v>גין מהנדסים בע"מ</v>
          </cell>
          <cell r="J1057">
            <v>1.7501</v>
          </cell>
          <cell r="K1057" t="str">
            <v>₪</v>
          </cell>
          <cell r="L1057">
            <v>256</v>
          </cell>
          <cell r="M1057" t="str">
            <v>יח'</v>
          </cell>
          <cell r="N1057">
            <v>448.0256</v>
          </cell>
        </row>
        <row r="1058">
          <cell r="B1058" t="str">
            <v>MS21209CO810L</v>
          </cell>
          <cell r="C1058">
            <v>26558</v>
          </cell>
          <cell r="D1058">
            <v>3</v>
          </cell>
          <cell r="E1058" t="str">
            <v>קשיח</v>
          </cell>
          <cell r="F1058" t="str">
            <v>01.0183</v>
          </cell>
          <cell r="G1058">
            <v>44014</v>
          </cell>
          <cell r="H1058" t="str">
            <v>01.0183</v>
          </cell>
          <cell r="I1058" t="str">
            <v>דר טכנולוגיות בע"מ</v>
          </cell>
          <cell r="J1058">
            <v>3.5</v>
          </cell>
          <cell r="K1058" t="str">
            <v>₪</v>
          </cell>
          <cell r="L1058">
            <v>200</v>
          </cell>
          <cell r="M1058" t="str">
            <v>יח'</v>
          </cell>
          <cell r="N1058">
            <v>700</v>
          </cell>
        </row>
        <row r="1059">
          <cell r="B1059" t="str">
            <v>MS21209CO810L</v>
          </cell>
          <cell r="C1059">
            <v>4608</v>
          </cell>
          <cell r="D1059">
            <v>1</v>
          </cell>
          <cell r="E1059" t="str">
            <v>קשיח</v>
          </cell>
          <cell r="F1059" t="str">
            <v>01.0183</v>
          </cell>
          <cell r="G1059">
            <v>41659</v>
          </cell>
          <cell r="H1059" t="str">
            <v>01.0183</v>
          </cell>
          <cell r="I1059" t="str">
            <v>לוונשטיין טכנולוגיות</v>
          </cell>
          <cell r="J1059">
            <v>1.5202</v>
          </cell>
          <cell r="K1059" t="str">
            <v>₪</v>
          </cell>
          <cell r="M1059" t="str">
            <v>יח'</v>
          </cell>
        </row>
        <row r="1060">
          <cell r="B1060" t="str">
            <v>MS21209CO810</v>
          </cell>
          <cell r="C1060">
            <v>1899</v>
          </cell>
          <cell r="D1060">
            <v>1</v>
          </cell>
          <cell r="E1060" t="str">
            <v>קשיח</v>
          </cell>
          <cell r="F1060" t="str">
            <v>01.0183</v>
          </cell>
          <cell r="G1060">
            <v>41310</v>
          </cell>
          <cell r="H1060" t="str">
            <v>01.0183</v>
          </cell>
          <cell r="I1060" t="str">
            <v>לוונשטיין טכנולוגיות</v>
          </cell>
          <cell r="J1060">
            <v>0.56000000000000005</v>
          </cell>
          <cell r="K1060" t="str">
            <v>₪</v>
          </cell>
          <cell r="L1060">
            <v>1500</v>
          </cell>
          <cell r="M1060" t="str">
            <v>יח'</v>
          </cell>
          <cell r="N1060">
            <v>840.00000000000011</v>
          </cell>
        </row>
        <row r="1061">
          <cell r="B1061" t="str">
            <v>MS21209CO810</v>
          </cell>
          <cell r="C1061">
            <v>1900</v>
          </cell>
          <cell r="D1061">
            <v>1</v>
          </cell>
          <cell r="E1061" t="str">
            <v>קשיח</v>
          </cell>
          <cell r="F1061" t="str">
            <v>01.0183</v>
          </cell>
          <cell r="G1061">
            <v>41310</v>
          </cell>
          <cell r="H1061" t="str">
            <v>01.0183</v>
          </cell>
          <cell r="I1061" t="str">
            <v>לוונשטיין טכנולוגיות</v>
          </cell>
          <cell r="J1061">
            <v>0.56000000000000005</v>
          </cell>
          <cell r="K1061" t="str">
            <v>₪</v>
          </cell>
          <cell r="L1061">
            <v>500</v>
          </cell>
          <cell r="M1061" t="str">
            <v>יח'</v>
          </cell>
          <cell r="N1061">
            <v>280</v>
          </cell>
        </row>
        <row r="1062">
          <cell r="B1062" t="str">
            <v>MS122082 0.312-18 UNC X 0.312 INCH CRES 1X</v>
          </cell>
          <cell r="C1062">
            <v>41212</v>
          </cell>
          <cell r="D1062">
            <v>1</v>
          </cell>
          <cell r="E1062" t="str">
            <v>קשיח</v>
          </cell>
          <cell r="F1062" t="str">
            <v>01.0185</v>
          </cell>
          <cell r="G1062">
            <v>45825</v>
          </cell>
          <cell r="H1062" t="str">
            <v>01.0185</v>
          </cell>
          <cell r="I1062" t="str">
            <v>דר טכנולוגיות בע"מ</v>
          </cell>
          <cell r="J1062">
            <v>0.65</v>
          </cell>
          <cell r="K1062" t="str">
            <v>₪</v>
          </cell>
          <cell r="L1062">
            <v>100</v>
          </cell>
          <cell r="M1062" t="str">
            <v>יח'</v>
          </cell>
          <cell r="N1062">
            <v>65</v>
          </cell>
        </row>
        <row r="1063">
          <cell r="B1063" t="str">
            <v>MS21209-F1-20L; INSERT, HELICAL, 10-32 X 2D</v>
          </cell>
          <cell r="C1063">
            <v>45014</v>
          </cell>
          <cell r="D1063">
            <v>2</v>
          </cell>
          <cell r="E1063" t="str">
            <v>קשיח</v>
          </cell>
          <cell r="F1063" t="str">
            <v>01.0186</v>
          </cell>
          <cell r="G1063">
            <v>46082.355124918984</v>
          </cell>
          <cell r="H1063" t="str">
            <v>01.0186</v>
          </cell>
          <cell r="I1063" t="str">
            <v>גין מהנדסים בע"מ</v>
          </cell>
          <cell r="J1063">
            <v>1.8</v>
          </cell>
          <cell r="K1063" t="str">
            <v>₪</v>
          </cell>
          <cell r="L1063">
            <v>200</v>
          </cell>
          <cell r="M1063" t="str">
            <v>יח'</v>
          </cell>
          <cell r="N1063">
            <v>360</v>
          </cell>
        </row>
        <row r="1064">
          <cell r="B1064" t="str">
            <v>MS21209-F1-20L; INSERT, HELICAL, 10-32 X 2D</v>
          </cell>
          <cell r="C1064">
            <v>34039</v>
          </cell>
          <cell r="D1064">
            <v>2</v>
          </cell>
          <cell r="E1064" t="str">
            <v>קשיח</v>
          </cell>
          <cell r="F1064" t="str">
            <v>01.0186</v>
          </cell>
          <cell r="G1064">
            <v>45070</v>
          </cell>
          <cell r="H1064" t="str">
            <v>01.0186</v>
          </cell>
          <cell r="I1064" t="str">
            <v>לוונשטיין טכנולוגיות בע"מ</v>
          </cell>
          <cell r="J1064">
            <v>1.3</v>
          </cell>
          <cell r="K1064" t="str">
            <v>₪</v>
          </cell>
          <cell r="L1064">
            <v>200</v>
          </cell>
          <cell r="M1064" t="str">
            <v>יח'</v>
          </cell>
          <cell r="N1064">
            <v>260</v>
          </cell>
        </row>
        <row r="1065">
          <cell r="B1065" t="str">
            <v>MS21209-F1-20L; INSERT, HELICAL, 10-32 X 2D</v>
          </cell>
          <cell r="C1065">
            <v>32231</v>
          </cell>
          <cell r="D1065">
            <v>2</v>
          </cell>
          <cell r="E1065" t="str">
            <v>קשיח</v>
          </cell>
          <cell r="F1065" t="str">
            <v>01.0186</v>
          </cell>
          <cell r="G1065">
            <v>44794</v>
          </cell>
          <cell r="H1065" t="str">
            <v>01.0186</v>
          </cell>
          <cell r="I1065" t="str">
            <v>גין מהנדסים בע"מ</v>
          </cell>
          <cell r="J1065">
            <v>1.1499999999999999</v>
          </cell>
          <cell r="K1065" t="str">
            <v>₪</v>
          </cell>
          <cell r="L1065">
            <v>200</v>
          </cell>
          <cell r="M1065" t="str">
            <v>יח'</v>
          </cell>
          <cell r="N1065">
            <v>229.99999999999997</v>
          </cell>
        </row>
        <row r="1066">
          <cell r="B1066" t="str">
            <v>MS21209C0815L 
INSERT, HELICAL CRES S/L 8-32X1.5D</v>
          </cell>
          <cell r="C1066">
            <v>37140</v>
          </cell>
          <cell r="D1066">
            <v>1</v>
          </cell>
          <cell r="E1066" t="str">
            <v>קשיח</v>
          </cell>
          <cell r="F1066" t="str">
            <v>01.0187</v>
          </cell>
          <cell r="G1066">
            <v>45420</v>
          </cell>
          <cell r="H1066" t="str">
            <v>01.0187</v>
          </cell>
          <cell r="I1066" t="str">
            <v>לוונשטיין טכנולוגיות בע"מ</v>
          </cell>
          <cell r="J1066">
            <v>1</v>
          </cell>
          <cell r="K1066" t="str">
            <v>₪</v>
          </cell>
          <cell r="L1066">
            <v>500</v>
          </cell>
          <cell r="M1066" t="str">
            <v>יח'</v>
          </cell>
          <cell r="N1066">
            <v>500</v>
          </cell>
        </row>
        <row r="1067">
          <cell r="B1067" t="str">
            <v>MS21209C0815L 
INSERT, HELICAL CRES S/L 8-32X1.5D</v>
          </cell>
          <cell r="C1067">
            <v>32231</v>
          </cell>
          <cell r="D1067">
            <v>1</v>
          </cell>
          <cell r="E1067" t="str">
            <v>קשיח</v>
          </cell>
          <cell r="F1067" t="str">
            <v>01.0187</v>
          </cell>
          <cell r="G1067">
            <v>44794</v>
          </cell>
          <cell r="H1067" t="str">
            <v>01.0187</v>
          </cell>
          <cell r="I1067" t="str">
            <v>גין מהנדסים בע"מ</v>
          </cell>
          <cell r="J1067">
            <v>0.9</v>
          </cell>
          <cell r="K1067" t="str">
            <v>₪</v>
          </cell>
          <cell r="L1067">
            <v>200</v>
          </cell>
          <cell r="M1067" t="str">
            <v>יח'</v>
          </cell>
          <cell r="N1067">
            <v>180</v>
          </cell>
        </row>
        <row r="1068">
          <cell r="B1068" t="str">
            <v>MS21209C0815L 
INSERT, HELICAL CRES S/L 8-32X1.5D</v>
          </cell>
          <cell r="C1068">
            <v>27859</v>
          </cell>
          <cell r="D1068">
            <v>1</v>
          </cell>
          <cell r="E1068" t="str">
            <v>קשיח</v>
          </cell>
          <cell r="F1068" t="str">
            <v>01.0187</v>
          </cell>
          <cell r="G1068">
            <v>44194</v>
          </cell>
          <cell r="H1068" t="str">
            <v>01.0187</v>
          </cell>
          <cell r="I1068" t="str">
            <v>גין מהנדסים בע"מ</v>
          </cell>
          <cell r="J1068">
            <v>1.1499999999999999</v>
          </cell>
          <cell r="K1068" t="str">
            <v>₪</v>
          </cell>
          <cell r="L1068">
            <v>1000</v>
          </cell>
          <cell r="M1068" t="str">
            <v>יח'</v>
          </cell>
          <cell r="N1068">
            <v>1150</v>
          </cell>
        </row>
        <row r="1069">
          <cell r="B1069" t="str">
            <v>MS21209C0815L 
INSERT, HELICAL CRES S/L 8-32X1.5D</v>
          </cell>
          <cell r="C1069">
            <v>21998</v>
          </cell>
          <cell r="D1069">
            <v>2</v>
          </cell>
          <cell r="E1069" t="str">
            <v>קשיח</v>
          </cell>
          <cell r="F1069" t="str">
            <v>01.0187</v>
          </cell>
          <cell r="G1069">
            <v>43395</v>
          </cell>
          <cell r="H1069" t="str">
            <v>01.0187</v>
          </cell>
          <cell r="I1069" t="str">
            <v>גין מהנדסים בע"מ</v>
          </cell>
          <cell r="J1069">
            <v>2.1998000000000002</v>
          </cell>
          <cell r="K1069" t="str">
            <v>₪</v>
          </cell>
          <cell r="M1069" t="str">
            <v>יח'</v>
          </cell>
        </row>
        <row r="1070">
          <cell r="B1070" t="str">
            <v>MS 21209CO420</v>
          </cell>
          <cell r="C1070">
            <v>41603</v>
          </cell>
          <cell r="D1070">
            <v>1</v>
          </cell>
          <cell r="E1070" t="str">
            <v>קשיח</v>
          </cell>
          <cell r="F1070" t="str">
            <v>01.0191</v>
          </cell>
          <cell r="G1070">
            <v>45865</v>
          </cell>
          <cell r="H1070" t="str">
            <v>01.0191</v>
          </cell>
          <cell r="I1070" t="str">
            <v>דר טכנולוגיות בע"מ</v>
          </cell>
          <cell r="J1070">
            <v>0.6</v>
          </cell>
          <cell r="K1070" t="str">
            <v>₪</v>
          </cell>
          <cell r="L1070">
            <v>100</v>
          </cell>
          <cell r="M1070" t="str">
            <v>יח'</v>
          </cell>
          <cell r="N1070">
            <v>60</v>
          </cell>
        </row>
        <row r="1071">
          <cell r="B1071" t="str">
            <v>MS 21209CO420</v>
          </cell>
          <cell r="C1071">
            <v>41080</v>
          </cell>
          <cell r="D1071">
            <v>1</v>
          </cell>
          <cell r="E1071" t="str">
            <v>קשיח</v>
          </cell>
          <cell r="F1071" t="str">
            <v>01.0191</v>
          </cell>
          <cell r="G1071">
            <v>45811</v>
          </cell>
          <cell r="H1071" t="str">
            <v>01.0191</v>
          </cell>
          <cell r="I1071" t="str">
            <v>דר טכנולוגיות בע"מ</v>
          </cell>
          <cell r="J1071">
            <v>0.6</v>
          </cell>
          <cell r="K1071" t="str">
            <v>₪</v>
          </cell>
          <cell r="L1071">
            <v>100</v>
          </cell>
          <cell r="M1071" t="str">
            <v>יח'</v>
          </cell>
          <cell r="N1071">
            <v>60</v>
          </cell>
        </row>
        <row r="1072">
          <cell r="B1072" t="str">
            <v>MS 21209CO420</v>
          </cell>
          <cell r="C1072">
            <v>39817</v>
          </cell>
          <cell r="D1072">
            <v>1</v>
          </cell>
          <cell r="E1072" t="str">
            <v>קשיח</v>
          </cell>
          <cell r="F1072" t="str">
            <v>01.0191</v>
          </cell>
          <cell r="G1072">
            <v>45700</v>
          </cell>
          <cell r="H1072" t="str">
            <v>01.0191</v>
          </cell>
          <cell r="I1072" t="str">
            <v>דר טכנולוגיות בע"מ</v>
          </cell>
          <cell r="J1072">
            <v>0.6</v>
          </cell>
          <cell r="K1072" t="str">
            <v>₪</v>
          </cell>
          <cell r="L1072">
            <v>200</v>
          </cell>
          <cell r="M1072" t="str">
            <v>יח'</v>
          </cell>
          <cell r="N1072">
            <v>120</v>
          </cell>
        </row>
        <row r="1073">
          <cell r="B1073" t="str">
            <v>MS 21209CO420</v>
          </cell>
          <cell r="C1073">
            <v>39364</v>
          </cell>
          <cell r="D1073">
            <v>1</v>
          </cell>
          <cell r="E1073" t="str">
            <v>קשיח</v>
          </cell>
          <cell r="F1073" t="str">
            <v>01.0191</v>
          </cell>
          <cell r="G1073">
            <v>45662</v>
          </cell>
          <cell r="H1073" t="str">
            <v>01.0191</v>
          </cell>
          <cell r="I1073" t="str">
            <v>דר טכנולוגיות בע"מ</v>
          </cell>
          <cell r="J1073">
            <v>0.6</v>
          </cell>
          <cell r="K1073" t="str">
            <v>₪</v>
          </cell>
          <cell r="L1073">
            <v>200</v>
          </cell>
          <cell r="M1073" t="str">
            <v>יח'</v>
          </cell>
          <cell r="N1073">
            <v>120</v>
          </cell>
        </row>
        <row r="1074">
          <cell r="B1074" t="str">
            <v>MS 21209CO420</v>
          </cell>
          <cell r="C1074">
            <v>39107</v>
          </cell>
          <cell r="D1074">
            <v>1</v>
          </cell>
          <cell r="E1074" t="str">
            <v>קשיח</v>
          </cell>
          <cell r="F1074" t="str">
            <v>01.0191</v>
          </cell>
          <cell r="G1074">
            <v>45637</v>
          </cell>
          <cell r="H1074" t="str">
            <v>01.0191</v>
          </cell>
          <cell r="I1074" t="str">
            <v>דר טכנולוגיות בע"מ</v>
          </cell>
          <cell r="J1074">
            <v>0.6</v>
          </cell>
          <cell r="K1074" t="str">
            <v>₪</v>
          </cell>
          <cell r="L1074">
            <v>300</v>
          </cell>
          <cell r="M1074" t="str">
            <v>יח'</v>
          </cell>
          <cell r="N1074">
            <v>180</v>
          </cell>
        </row>
        <row r="1075">
          <cell r="B1075" t="str">
            <v>MS 21209CO420</v>
          </cell>
          <cell r="C1075">
            <v>39035</v>
          </cell>
          <cell r="D1075">
            <v>1</v>
          </cell>
          <cell r="E1075" t="str">
            <v>קשיח</v>
          </cell>
          <cell r="F1075" t="str">
            <v>01.0191</v>
          </cell>
          <cell r="G1075">
            <v>45629</v>
          </cell>
          <cell r="H1075" t="str">
            <v>01.0191</v>
          </cell>
          <cell r="I1075" t="str">
            <v>דר טכנולוגיות בע"מ</v>
          </cell>
          <cell r="J1075">
            <v>0.6</v>
          </cell>
          <cell r="K1075" t="str">
            <v>₪</v>
          </cell>
          <cell r="L1075">
            <v>300</v>
          </cell>
          <cell r="M1075" t="str">
            <v>יח'</v>
          </cell>
          <cell r="N1075">
            <v>180</v>
          </cell>
        </row>
        <row r="1076">
          <cell r="B1076" t="str">
            <v>MS 21209CO420</v>
          </cell>
          <cell r="C1076">
            <v>38711</v>
          </cell>
          <cell r="D1076">
            <v>1</v>
          </cell>
          <cell r="E1076" t="str">
            <v>קשיח</v>
          </cell>
          <cell r="F1076" t="str">
            <v>01.0191</v>
          </cell>
          <cell r="G1076">
            <v>45600</v>
          </cell>
          <cell r="H1076" t="str">
            <v>01.0191</v>
          </cell>
          <cell r="I1076" t="str">
            <v>דר טכנולוגיות בע"מ</v>
          </cell>
          <cell r="J1076">
            <v>0.6</v>
          </cell>
          <cell r="K1076" t="str">
            <v>₪</v>
          </cell>
          <cell r="L1076">
            <v>300</v>
          </cell>
          <cell r="M1076" t="str">
            <v>יח'</v>
          </cell>
          <cell r="N1076">
            <v>180</v>
          </cell>
        </row>
        <row r="1077">
          <cell r="B1077" t="str">
            <v>MS 21209CO420</v>
          </cell>
          <cell r="C1077">
            <v>38138</v>
          </cell>
          <cell r="D1077">
            <v>1</v>
          </cell>
          <cell r="E1077" t="str">
            <v>קשיח</v>
          </cell>
          <cell r="F1077" t="str">
            <v>01.0191</v>
          </cell>
          <cell r="G1077">
            <v>45530</v>
          </cell>
          <cell r="H1077" t="str">
            <v>01.0191</v>
          </cell>
          <cell r="I1077" t="str">
            <v>דר טכנולוגיות בע"מ</v>
          </cell>
          <cell r="J1077">
            <v>0.6</v>
          </cell>
          <cell r="K1077" t="str">
            <v>₪</v>
          </cell>
          <cell r="L1077">
            <v>200</v>
          </cell>
          <cell r="M1077" t="str">
            <v>יח'</v>
          </cell>
          <cell r="N1077">
            <v>120</v>
          </cell>
        </row>
        <row r="1078">
          <cell r="B1078" t="str">
            <v>MS 21209CO420</v>
          </cell>
          <cell r="C1078">
            <v>36414</v>
          </cell>
          <cell r="D1078">
            <v>1</v>
          </cell>
          <cell r="E1078" t="str">
            <v>קשיח</v>
          </cell>
          <cell r="F1078" t="str">
            <v>01.0191</v>
          </cell>
          <cell r="G1078">
            <v>45336</v>
          </cell>
          <cell r="H1078" t="str">
            <v>01.0191</v>
          </cell>
          <cell r="I1078" t="str">
            <v>דר טכנולוגיות בע"מ</v>
          </cell>
          <cell r="J1078">
            <v>0.65</v>
          </cell>
          <cell r="K1078" t="str">
            <v>₪</v>
          </cell>
          <cell r="L1078">
            <v>300</v>
          </cell>
          <cell r="M1078" t="str">
            <v>יח'</v>
          </cell>
          <cell r="N1078">
            <v>195</v>
          </cell>
        </row>
        <row r="1079">
          <cell r="B1079" t="str">
            <v>MS 21209CO420</v>
          </cell>
          <cell r="C1079">
            <v>32022</v>
          </cell>
          <cell r="D1079">
            <v>1</v>
          </cell>
          <cell r="E1079" t="str">
            <v>קשיח</v>
          </cell>
          <cell r="F1079" t="str">
            <v>01.0191</v>
          </cell>
          <cell r="G1079">
            <v>44763</v>
          </cell>
          <cell r="H1079" t="str">
            <v>01.0191</v>
          </cell>
          <cell r="I1079" t="str">
            <v>לוונשטיין טכנולוגיות בע"מ</v>
          </cell>
          <cell r="J1079">
            <v>3.6</v>
          </cell>
          <cell r="K1079" t="str">
            <v>₪</v>
          </cell>
          <cell r="L1079">
            <v>200</v>
          </cell>
          <cell r="M1079" t="str">
            <v>יח'</v>
          </cell>
          <cell r="N1079">
            <v>720</v>
          </cell>
        </row>
        <row r="1080">
          <cell r="B1080" t="str">
            <v>MS 21209CO420</v>
          </cell>
          <cell r="C1080">
            <v>18625</v>
          </cell>
          <cell r="D1080">
            <v>1</v>
          </cell>
          <cell r="E1080" t="str">
            <v>קשיח</v>
          </cell>
          <cell r="F1080" t="str">
            <v>01.0191</v>
          </cell>
          <cell r="G1080">
            <v>43104</v>
          </cell>
          <cell r="H1080" t="str">
            <v>01.0191</v>
          </cell>
          <cell r="I1080" t="str">
            <v>גין מהנדסים בע"מ</v>
          </cell>
          <cell r="J1080">
            <v>0.49990000000000001</v>
          </cell>
          <cell r="K1080" t="str">
            <v>₪</v>
          </cell>
          <cell r="M1080" t="str">
            <v>יח'</v>
          </cell>
        </row>
        <row r="1081">
          <cell r="B1081" t="str">
            <v>MS21209-F1-20; INSERT, HELICAL, 10-32 X 2D</v>
          </cell>
          <cell r="C1081">
            <v>40149</v>
          </cell>
          <cell r="D1081">
            <v>1</v>
          </cell>
          <cell r="E1081" t="str">
            <v>קשיח</v>
          </cell>
          <cell r="F1081" t="str">
            <v>01.0192</v>
          </cell>
          <cell r="G1081">
            <v>45728</v>
          </cell>
          <cell r="H1081" t="str">
            <v>01.0192</v>
          </cell>
          <cell r="I1081" t="str">
            <v>גין מהנדסים בע"מ</v>
          </cell>
          <cell r="J1081">
            <v>6</v>
          </cell>
          <cell r="K1081" t="str">
            <v>₪</v>
          </cell>
          <cell r="L1081">
            <v>20</v>
          </cell>
          <cell r="M1081" t="str">
            <v>יח'</v>
          </cell>
          <cell r="N1081">
            <v>120</v>
          </cell>
        </row>
        <row r="1082">
          <cell r="B1082" t="str">
            <v>HELI COIL FR M10X1.5 ,1.5D , DIN8140 A2</v>
          </cell>
          <cell r="C1082">
            <v>34158</v>
          </cell>
          <cell r="D1082">
            <v>1</v>
          </cell>
          <cell r="E1082" t="str">
            <v>קשיח</v>
          </cell>
          <cell r="F1082" t="str">
            <v>01.0195</v>
          </cell>
          <cell r="G1082">
            <v>45088</v>
          </cell>
          <cell r="H1082" t="str">
            <v>01.0195</v>
          </cell>
          <cell r="I1082" t="str">
            <v>לוונשטיין טכנולוגיות בע"מ</v>
          </cell>
          <cell r="J1082">
            <v>0.9</v>
          </cell>
          <cell r="K1082" t="str">
            <v>₪</v>
          </cell>
          <cell r="L1082">
            <v>500</v>
          </cell>
          <cell r="M1082" t="str">
            <v>יח'</v>
          </cell>
          <cell r="N1082">
            <v>450</v>
          </cell>
        </row>
        <row r="1083">
          <cell r="B1083" t="str">
            <v>KNCM4X0.7</v>
          </cell>
          <cell r="C1083">
            <v>24129</v>
          </cell>
          <cell r="D1083">
            <v>1</v>
          </cell>
          <cell r="E1083" t="str">
            <v>קשיח</v>
          </cell>
          <cell r="F1083" t="str">
            <v>01.0196</v>
          </cell>
          <cell r="G1083">
            <v>43648</v>
          </cell>
          <cell r="H1083" t="str">
            <v>01.0196</v>
          </cell>
          <cell r="I1083" t="str">
            <v>דר טכנולוגיות בע"מ</v>
          </cell>
          <cell r="J1083">
            <v>20</v>
          </cell>
          <cell r="K1083" t="str">
            <v>₪</v>
          </cell>
          <cell r="L1083">
            <v>30</v>
          </cell>
          <cell r="M1083" t="str">
            <v>יח'</v>
          </cell>
          <cell r="N1083">
            <v>600</v>
          </cell>
        </row>
        <row r="1084">
          <cell r="B1084" t="str">
            <v>MS51831-201</v>
          </cell>
          <cell r="C1084">
            <v>29309</v>
          </cell>
          <cell r="D1084">
            <v>1</v>
          </cell>
          <cell r="E1084" t="str">
            <v>קשיח</v>
          </cell>
          <cell r="F1084" t="str">
            <v>01.0199</v>
          </cell>
          <cell r="G1084">
            <v>44391</v>
          </cell>
          <cell r="H1084" t="str">
            <v>01.0199</v>
          </cell>
          <cell r="I1084" t="str">
            <v>גין מהנדסים בע"מ</v>
          </cell>
          <cell r="J1084">
            <v>3.5</v>
          </cell>
          <cell r="K1084" t="str">
            <v>₪</v>
          </cell>
          <cell r="L1084">
            <v>100</v>
          </cell>
          <cell r="M1084" t="str">
            <v>יח'</v>
          </cell>
          <cell r="N1084">
            <v>350</v>
          </cell>
        </row>
        <row r="1085">
          <cell r="B1085" t="str">
            <v>MS51831-201</v>
          </cell>
          <cell r="C1085">
            <v>28259</v>
          </cell>
          <cell r="D1085">
            <v>1</v>
          </cell>
          <cell r="E1085" t="str">
            <v>קשיח</v>
          </cell>
          <cell r="F1085" t="str">
            <v>01.0199</v>
          </cell>
          <cell r="G1085">
            <v>44249</v>
          </cell>
          <cell r="H1085" t="str">
            <v>01.0199</v>
          </cell>
          <cell r="I1085" t="str">
            <v>גין מהנדסים בע"מ</v>
          </cell>
          <cell r="J1085">
            <v>3.06</v>
          </cell>
          <cell r="K1085" t="str">
            <v>₪</v>
          </cell>
          <cell r="L1085">
            <v>2400</v>
          </cell>
          <cell r="M1085" t="str">
            <v>יח'</v>
          </cell>
          <cell r="N1085">
            <v>7344</v>
          </cell>
        </row>
        <row r="1086">
          <cell r="B1086" t="str">
            <v>MS51831-201</v>
          </cell>
          <cell r="C1086">
            <v>28229</v>
          </cell>
          <cell r="D1086">
            <v>1</v>
          </cell>
          <cell r="E1086" t="str">
            <v>קשיח</v>
          </cell>
          <cell r="F1086" t="str">
            <v>01.0199</v>
          </cell>
          <cell r="G1086">
            <v>44245</v>
          </cell>
          <cell r="H1086" t="str">
            <v>01.0199</v>
          </cell>
          <cell r="I1086" t="str">
            <v>גין מהנדסים בע"מ</v>
          </cell>
          <cell r="J1086">
            <v>3.1</v>
          </cell>
          <cell r="K1086" t="str">
            <v>₪</v>
          </cell>
          <cell r="L1086">
            <v>2450</v>
          </cell>
          <cell r="M1086" t="str">
            <v>יח'</v>
          </cell>
          <cell r="N1086">
            <v>7595</v>
          </cell>
        </row>
        <row r="1087">
          <cell r="B1087" t="str">
            <v>MS51831-201</v>
          </cell>
          <cell r="C1087">
            <v>27624</v>
          </cell>
          <cell r="D1087">
            <v>1</v>
          </cell>
          <cell r="E1087" t="str">
            <v>קשיח</v>
          </cell>
          <cell r="F1087" t="str">
            <v>01.0199</v>
          </cell>
          <cell r="G1087">
            <v>44161</v>
          </cell>
          <cell r="H1087" t="str">
            <v>01.0199</v>
          </cell>
          <cell r="I1087" t="str">
            <v>ברמיל בע"מ</v>
          </cell>
          <cell r="J1087">
            <v>3.75</v>
          </cell>
          <cell r="K1087" t="str">
            <v>₪</v>
          </cell>
          <cell r="L1087">
            <v>300</v>
          </cell>
          <cell r="M1087" t="str">
            <v>יח'</v>
          </cell>
          <cell r="N1087">
            <v>1125</v>
          </cell>
        </row>
        <row r="1088">
          <cell r="B1088" t="str">
            <v>MS51830-204, INSERT,SCREW THREAD</v>
          </cell>
          <cell r="C1088">
            <v>43163</v>
          </cell>
          <cell r="D1088">
            <v>18</v>
          </cell>
          <cell r="E1088" t="str">
            <v>קשיח</v>
          </cell>
          <cell r="F1088" t="str">
            <v>01.0201</v>
          </cell>
          <cell r="G1088">
            <v>46013</v>
          </cell>
          <cell r="H1088" t="str">
            <v>01.0201</v>
          </cell>
          <cell r="I1088" t="str">
            <v>גין מהנדסים בע"מ</v>
          </cell>
          <cell r="J1088">
            <v>7.75</v>
          </cell>
          <cell r="K1088" t="str">
            <v>₪</v>
          </cell>
          <cell r="L1088">
            <v>300</v>
          </cell>
          <cell r="M1088" t="str">
            <v>יח'</v>
          </cell>
          <cell r="N1088">
            <v>2325</v>
          </cell>
        </row>
        <row r="1089">
          <cell r="B1089" t="str">
            <v>MS51830-204, INSERT,SCREW THREAD</v>
          </cell>
          <cell r="C1089">
            <v>43163</v>
          </cell>
          <cell r="D1089">
            <v>19</v>
          </cell>
          <cell r="E1089" t="str">
            <v>קשיח</v>
          </cell>
          <cell r="F1089" t="str">
            <v>01.0201</v>
          </cell>
          <cell r="G1089">
            <v>46013</v>
          </cell>
          <cell r="H1089" t="str">
            <v>01.0201</v>
          </cell>
          <cell r="I1089" t="str">
            <v>גין מהנדסים בע"מ</v>
          </cell>
          <cell r="J1089">
            <v>7.75</v>
          </cell>
          <cell r="K1089" t="str">
            <v>₪</v>
          </cell>
          <cell r="L1089">
            <v>300</v>
          </cell>
          <cell r="M1089" t="str">
            <v>יח'</v>
          </cell>
          <cell r="N1089">
            <v>2325</v>
          </cell>
        </row>
        <row r="1090">
          <cell r="B1090" t="str">
            <v>MS51830-204, INSERT,SCREW THREAD</v>
          </cell>
          <cell r="C1090">
            <v>39547</v>
          </cell>
          <cell r="D1090">
            <v>1</v>
          </cell>
          <cell r="E1090" t="str">
            <v>קשיח</v>
          </cell>
          <cell r="F1090" t="str">
            <v>01.0201</v>
          </cell>
          <cell r="G1090">
            <v>45683</v>
          </cell>
          <cell r="H1090" t="str">
            <v>01.0201</v>
          </cell>
          <cell r="I1090" t="str">
            <v>לוונשטיין טכנולוגיות בע"מ</v>
          </cell>
          <cell r="J1090">
            <v>6.95</v>
          </cell>
          <cell r="K1090" t="str">
            <v>₪</v>
          </cell>
          <cell r="L1090">
            <v>2250</v>
          </cell>
          <cell r="M1090" t="str">
            <v>יח'</v>
          </cell>
          <cell r="N1090">
            <v>15637.5</v>
          </cell>
        </row>
        <row r="1091">
          <cell r="B1091" t="str">
            <v>MS51830-204, INSERT,SCREW THREAD</v>
          </cell>
          <cell r="C1091">
            <v>9465</v>
          </cell>
          <cell r="D1091">
            <v>1</v>
          </cell>
          <cell r="E1091" t="str">
            <v>קשיח</v>
          </cell>
          <cell r="F1091" t="str">
            <v>01.0201</v>
          </cell>
          <cell r="G1091">
            <v>42225</v>
          </cell>
          <cell r="H1091" t="str">
            <v>01.0201</v>
          </cell>
          <cell r="I1091" t="str">
            <v>גין מהנדסים בע"מ</v>
          </cell>
          <cell r="J1091">
            <v>9.5</v>
          </cell>
          <cell r="K1091" t="str">
            <v>₪</v>
          </cell>
          <cell r="M1091" t="str">
            <v>יח'</v>
          </cell>
        </row>
        <row r="1092">
          <cell r="B1092" t="str">
            <v>KNCAL0440J</v>
          </cell>
          <cell r="C1092">
            <v>6713</v>
          </cell>
          <cell r="D1092">
            <v>1</v>
          </cell>
          <cell r="E1092" t="str">
            <v>קשיח</v>
          </cell>
          <cell r="F1092" t="str">
            <v>01.0203</v>
          </cell>
          <cell r="G1092">
            <v>41927</v>
          </cell>
          <cell r="H1092" t="str">
            <v>01.0203</v>
          </cell>
          <cell r="I1092" t="str">
            <v>גין מהנדסים בע"מ</v>
          </cell>
          <cell r="J1092">
            <v>8.5</v>
          </cell>
          <cell r="K1092" t="str">
            <v>₪</v>
          </cell>
          <cell r="L1092">
            <v>20</v>
          </cell>
          <cell r="M1092" t="str">
            <v>יח'</v>
          </cell>
          <cell r="N1092">
            <v>170</v>
          </cell>
        </row>
        <row r="1093">
          <cell r="B1093" t="str">
            <v>Pin DIA 3.0 M6*6mm steel</v>
          </cell>
          <cell r="C1093">
            <v>24512</v>
          </cell>
          <cell r="D1093">
            <v>2</v>
          </cell>
          <cell r="E1093" t="str">
            <v>קשיח</v>
          </cell>
          <cell r="F1093" t="str">
            <v>01.0205</v>
          </cell>
          <cell r="G1093">
            <v>43692</v>
          </cell>
          <cell r="H1093" t="str">
            <v>01.0205</v>
          </cell>
          <cell r="I1093" t="str">
            <v>גין מהנדסים בע"מ</v>
          </cell>
          <cell r="J1093">
            <v>0</v>
          </cell>
          <cell r="K1093" t="str">
            <v>₪</v>
          </cell>
          <cell r="M1093" t="str">
            <v>יח'</v>
          </cell>
        </row>
        <row r="1094">
          <cell r="B1094" t="str">
            <v>Pin DIA 3.0 M6*6mm steel</v>
          </cell>
          <cell r="C1094">
            <v>19185</v>
          </cell>
          <cell r="D1094">
            <v>1</v>
          </cell>
          <cell r="E1094" t="str">
            <v>קשיח</v>
          </cell>
          <cell r="F1094" t="str">
            <v>01.0205</v>
          </cell>
          <cell r="G1094">
            <v>43158</v>
          </cell>
          <cell r="H1094" t="str">
            <v>01.0205</v>
          </cell>
          <cell r="I1094" t="str">
            <v>לוונשטיין טכנולוגיות</v>
          </cell>
          <cell r="J1094">
            <v>0</v>
          </cell>
          <cell r="K1094" t="str">
            <v>₪</v>
          </cell>
          <cell r="M1094" t="str">
            <v>יח'</v>
          </cell>
        </row>
        <row r="1095">
          <cell r="B1095" t="str">
            <v>Pin DIA 3.0 M6*6mm steel</v>
          </cell>
          <cell r="C1095">
            <v>19188</v>
          </cell>
          <cell r="D1095">
            <v>1</v>
          </cell>
          <cell r="E1095" t="str">
            <v>קשיח</v>
          </cell>
          <cell r="F1095" t="str">
            <v>01.0205</v>
          </cell>
          <cell r="G1095">
            <v>43158</v>
          </cell>
          <cell r="H1095" t="str">
            <v>01.0205</v>
          </cell>
          <cell r="I1095" t="str">
            <v>לוונשטיין טכנולוגיות</v>
          </cell>
          <cell r="J1095">
            <v>0</v>
          </cell>
          <cell r="K1095" t="str">
            <v>₪</v>
          </cell>
          <cell r="M1095" t="str">
            <v>יח'</v>
          </cell>
        </row>
        <row r="1096">
          <cell r="B1096" t="str">
            <v>Pin DIA 3.0 M6*6mm steel</v>
          </cell>
          <cell r="C1096">
            <v>19189</v>
          </cell>
          <cell r="D1096">
            <v>1</v>
          </cell>
          <cell r="E1096" t="str">
            <v>קשיח</v>
          </cell>
          <cell r="F1096" t="str">
            <v>01.0205</v>
          </cell>
          <cell r="G1096">
            <v>43158</v>
          </cell>
          <cell r="H1096" t="str">
            <v>01.0205</v>
          </cell>
          <cell r="I1096" t="str">
            <v>לוונשטיין טכנולוגיות</v>
          </cell>
          <cell r="J1096">
            <v>0</v>
          </cell>
          <cell r="K1096" t="str">
            <v>₪</v>
          </cell>
          <cell r="M1096" t="str">
            <v>יח'</v>
          </cell>
        </row>
        <row r="1097">
          <cell r="B1097" t="str">
            <v>Screw NAS 1351-3LB5P</v>
          </cell>
          <cell r="C1097">
            <v>6733</v>
          </cell>
          <cell r="D1097">
            <v>1</v>
          </cell>
          <cell r="E1097" t="str">
            <v>קשיח</v>
          </cell>
          <cell r="F1097" t="str">
            <v>01.0206</v>
          </cell>
          <cell r="G1097">
            <v>41931</v>
          </cell>
          <cell r="H1097" t="str">
            <v>01.0206</v>
          </cell>
          <cell r="I1097" t="str">
            <v>מלאי מקומי בע"מ</v>
          </cell>
          <cell r="J1097">
            <v>4.0438999999999998</v>
          </cell>
          <cell r="K1097" t="str">
            <v>₪</v>
          </cell>
          <cell r="M1097" t="str">
            <v>יח'</v>
          </cell>
        </row>
        <row r="1098">
          <cell r="B1098" t="str">
            <v>Screw NAS 1351-3LB5P</v>
          </cell>
          <cell r="C1098">
            <v>1284</v>
          </cell>
          <cell r="D1098">
            <v>1</v>
          </cell>
          <cell r="E1098" t="str">
            <v>קשיח</v>
          </cell>
          <cell r="F1098" t="str">
            <v>01.0206</v>
          </cell>
          <cell r="G1098">
            <v>41235</v>
          </cell>
          <cell r="H1098" t="str">
            <v>01.0206</v>
          </cell>
          <cell r="I1098" t="str">
            <v>לוונשטיין טכנולוגיות</v>
          </cell>
          <cell r="J1098">
            <v>1.0900000000000001</v>
          </cell>
          <cell r="K1098" t="str">
            <v>$</v>
          </cell>
          <cell r="L1098">
            <v>900</v>
          </cell>
          <cell r="M1098" t="str">
            <v>יח'</v>
          </cell>
          <cell r="N1098">
            <v>3013.6320000000005</v>
          </cell>
        </row>
        <row r="1099">
          <cell r="B1099" t="str">
            <v>Screw NAS 1351-3LB5P</v>
          </cell>
          <cell r="C1099">
            <v>817</v>
          </cell>
          <cell r="D1099">
            <v>1</v>
          </cell>
          <cell r="E1099" t="str">
            <v>קשיח</v>
          </cell>
          <cell r="F1099" t="str">
            <v>01.0206</v>
          </cell>
          <cell r="G1099">
            <v>41171</v>
          </cell>
          <cell r="H1099" t="str">
            <v>01.0206</v>
          </cell>
          <cell r="I1099" t="str">
            <v>גין מהנדסים בע"מ</v>
          </cell>
          <cell r="J1099">
            <v>1.56</v>
          </cell>
          <cell r="K1099" t="str">
            <v>$</v>
          </cell>
          <cell r="L1099">
            <v>600</v>
          </cell>
          <cell r="M1099" t="str">
            <v>יח'</v>
          </cell>
          <cell r="N1099">
            <v>2875.3920000000003</v>
          </cell>
        </row>
        <row r="1100">
          <cell r="B1100" t="str">
            <v>Screw NAS 1351-3LB</v>
          </cell>
          <cell r="C1100">
            <v>565</v>
          </cell>
          <cell r="D1100">
            <v>1</v>
          </cell>
          <cell r="E1100" t="str">
            <v>קשיח</v>
          </cell>
          <cell r="F1100" t="str">
            <v>01.0206</v>
          </cell>
          <cell r="G1100">
            <v>41137</v>
          </cell>
          <cell r="H1100" t="str">
            <v>01.0206</v>
          </cell>
          <cell r="I1100" t="str">
            <v>קייטק ישראל בע"מ</v>
          </cell>
          <cell r="J1100">
            <v>1.58</v>
          </cell>
          <cell r="K1100" t="str">
            <v>$</v>
          </cell>
          <cell r="L1100">
            <v>360</v>
          </cell>
          <cell r="M1100" t="str">
            <v>יח'</v>
          </cell>
          <cell r="N1100">
            <v>1747.3536000000001</v>
          </cell>
        </row>
        <row r="1101">
          <cell r="B1101" t="str">
            <v>Screw NAS 1351-3LB</v>
          </cell>
          <cell r="C1101">
            <v>398</v>
          </cell>
          <cell r="D1101">
            <v>5</v>
          </cell>
          <cell r="E1101" t="str">
            <v>קשיח</v>
          </cell>
          <cell r="F1101" t="str">
            <v>01.0206</v>
          </cell>
          <cell r="G1101">
            <v>41122</v>
          </cell>
          <cell r="H1101" t="str">
            <v>01.0206</v>
          </cell>
          <cell r="I1101" t="str">
            <v>KAYTECH INDUSTRIES CORP</v>
          </cell>
          <cell r="J1101">
            <v>1.58</v>
          </cell>
          <cell r="K1101" t="str">
            <v>$</v>
          </cell>
          <cell r="L1101">
            <v>350</v>
          </cell>
          <cell r="M1101" t="str">
            <v>יח'</v>
          </cell>
          <cell r="N1101">
            <v>1698.816</v>
          </cell>
        </row>
        <row r="1102">
          <cell r="B1102" t="str">
            <v>MS51830-101L
	INSERT, KEY-LOCKED, 2-56</v>
          </cell>
          <cell r="C1102">
            <v>18529</v>
          </cell>
          <cell r="D1102">
            <v>1</v>
          </cell>
          <cell r="E1102" t="str">
            <v>קשיח</v>
          </cell>
          <cell r="F1102" t="str">
            <v>01.0207</v>
          </cell>
          <cell r="G1102">
            <v>43093</v>
          </cell>
          <cell r="H1102" t="str">
            <v>01.0207</v>
          </cell>
          <cell r="I1102" t="str">
            <v>גין מהנדסים בע"מ</v>
          </cell>
          <cell r="J1102">
            <v>12.947800000000001</v>
          </cell>
          <cell r="K1102" t="str">
            <v>₪</v>
          </cell>
          <cell r="M1102" t="str">
            <v>יח'</v>
          </cell>
        </row>
        <row r="1103">
          <cell r="B1103" t="str">
            <v>MS21209CO415L</v>
          </cell>
          <cell r="C1103">
            <v>41245</v>
          </cell>
          <cell r="D1103">
            <v>1</v>
          </cell>
          <cell r="E1103" t="str">
            <v>קשיח</v>
          </cell>
          <cell r="F1103" t="str">
            <v>01.0209</v>
          </cell>
          <cell r="G1103">
            <v>45830</v>
          </cell>
          <cell r="H1103" t="str">
            <v>01.0209</v>
          </cell>
          <cell r="I1103" t="str">
            <v>לוונשטיין טכנולוגיות בע"מ</v>
          </cell>
          <cell r="J1103">
            <v>1</v>
          </cell>
          <cell r="K1103" t="str">
            <v>₪</v>
          </cell>
          <cell r="L1103">
            <v>500</v>
          </cell>
          <cell r="M1103" t="str">
            <v>יח'</v>
          </cell>
          <cell r="N1103">
            <v>500</v>
          </cell>
        </row>
        <row r="1104">
          <cell r="B1104" t="str">
            <v>MS21209CO415L</v>
          </cell>
          <cell r="C1104">
            <v>38934</v>
          </cell>
          <cell r="D1104">
            <v>1</v>
          </cell>
          <cell r="E1104" t="str">
            <v>קשיח</v>
          </cell>
          <cell r="F1104" t="str">
            <v>01.0209</v>
          </cell>
          <cell r="G1104">
            <v>45622</v>
          </cell>
          <cell r="H1104" t="str">
            <v>01.0209</v>
          </cell>
          <cell r="I1104" t="str">
            <v>לוונשטיין טכנולוגיות בע"מ</v>
          </cell>
          <cell r="J1104">
            <v>1</v>
          </cell>
          <cell r="K1104" t="str">
            <v>₪</v>
          </cell>
          <cell r="L1104">
            <v>500</v>
          </cell>
          <cell r="M1104" t="str">
            <v>יח'</v>
          </cell>
          <cell r="N1104">
            <v>500</v>
          </cell>
        </row>
        <row r="1105">
          <cell r="B1105" t="str">
            <v>MS21209CO415L</v>
          </cell>
          <cell r="C1105">
            <v>38028</v>
          </cell>
          <cell r="D1105">
            <v>1</v>
          </cell>
          <cell r="E1105" t="str">
            <v>קשיח</v>
          </cell>
          <cell r="F1105" t="str">
            <v>01.0209</v>
          </cell>
          <cell r="G1105">
            <v>45517</v>
          </cell>
          <cell r="H1105" t="str">
            <v>01.0209</v>
          </cell>
          <cell r="I1105" t="str">
            <v>לוונשטיין טכנולוגיות בע"מ</v>
          </cell>
          <cell r="J1105">
            <v>1</v>
          </cell>
          <cell r="K1105" t="str">
            <v>₪</v>
          </cell>
          <cell r="L1105">
            <v>200</v>
          </cell>
          <cell r="M1105" t="str">
            <v>יח'</v>
          </cell>
          <cell r="N1105">
            <v>200</v>
          </cell>
        </row>
        <row r="1106">
          <cell r="B1106" t="str">
            <v>MS21209CO415L</v>
          </cell>
          <cell r="C1106">
            <v>36681</v>
          </cell>
          <cell r="D1106">
            <v>1</v>
          </cell>
          <cell r="E1106" t="str">
            <v>קשיח</v>
          </cell>
          <cell r="F1106" t="str">
            <v>01.0209</v>
          </cell>
          <cell r="G1106">
            <v>45371</v>
          </cell>
          <cell r="H1106" t="str">
            <v>01.0209</v>
          </cell>
          <cell r="I1106" t="str">
            <v>לוונשטיין טכנולוגיות בע"מ</v>
          </cell>
          <cell r="J1106">
            <v>1</v>
          </cell>
          <cell r="K1106" t="str">
            <v>₪</v>
          </cell>
          <cell r="L1106">
            <v>250</v>
          </cell>
          <cell r="M1106" t="str">
            <v>יח'</v>
          </cell>
          <cell r="N1106">
            <v>250</v>
          </cell>
        </row>
        <row r="1107">
          <cell r="B1107" t="str">
            <v>MS21209CO415L</v>
          </cell>
          <cell r="C1107">
            <v>35354</v>
          </cell>
          <cell r="D1107">
            <v>2</v>
          </cell>
          <cell r="E1107" t="str">
            <v>קשיח</v>
          </cell>
          <cell r="F1107" t="str">
            <v>01.0209</v>
          </cell>
          <cell r="G1107">
            <v>45218</v>
          </cell>
          <cell r="H1107" t="str">
            <v>01.0209</v>
          </cell>
          <cell r="I1107" t="str">
            <v>לוונשטיין טכנולוגיות בע"מ</v>
          </cell>
          <cell r="J1107">
            <v>1.2</v>
          </cell>
          <cell r="K1107" t="str">
            <v>₪</v>
          </cell>
          <cell r="L1107">
            <v>500</v>
          </cell>
          <cell r="M1107" t="str">
            <v>יח'</v>
          </cell>
          <cell r="N1107">
            <v>600</v>
          </cell>
        </row>
        <row r="1108">
          <cell r="B1108" t="str">
            <v>MS21209CO415L</v>
          </cell>
          <cell r="C1108">
            <v>34153</v>
          </cell>
          <cell r="D1108">
            <v>1</v>
          </cell>
          <cell r="E1108" t="str">
            <v>קשיח</v>
          </cell>
          <cell r="F1108" t="str">
            <v>01.0209</v>
          </cell>
          <cell r="G1108">
            <v>45085</v>
          </cell>
          <cell r="H1108" t="str">
            <v>01.0209</v>
          </cell>
          <cell r="I1108" t="str">
            <v>לוונשטיין טכנולוגיות בע"מ</v>
          </cell>
          <cell r="J1108">
            <v>1.2</v>
          </cell>
          <cell r="K1108" t="str">
            <v>₪</v>
          </cell>
          <cell r="L1108">
            <v>500</v>
          </cell>
          <cell r="M1108" t="str">
            <v>יח'</v>
          </cell>
          <cell r="N1108">
            <v>600</v>
          </cell>
        </row>
        <row r="1109">
          <cell r="B1109" t="str">
            <v>MS21209CO415L</v>
          </cell>
          <cell r="C1109">
            <v>1933</v>
          </cell>
          <cell r="D1109">
            <v>1</v>
          </cell>
          <cell r="E1109" t="str">
            <v>קשיח</v>
          </cell>
          <cell r="F1109" t="str">
            <v>01.0209</v>
          </cell>
          <cell r="G1109">
            <v>41316</v>
          </cell>
          <cell r="H1109" t="str">
            <v>01.0209</v>
          </cell>
          <cell r="I1109" t="str">
            <v>מלאי מקומי בע"מ</v>
          </cell>
          <cell r="J1109">
            <v>1.18</v>
          </cell>
          <cell r="K1109" t="str">
            <v>₪</v>
          </cell>
          <cell r="L1109">
            <v>1000</v>
          </cell>
          <cell r="M1109" t="str">
            <v>יח'</v>
          </cell>
          <cell r="N1109">
            <v>1180</v>
          </cell>
        </row>
        <row r="1110">
          <cell r="B1110" t="str">
            <v>KNL1032J/MS51830-201L</v>
          </cell>
          <cell r="C1110">
            <v>7046</v>
          </cell>
          <cell r="D1110">
            <v>1</v>
          </cell>
          <cell r="E1110" t="str">
            <v>קשיח</v>
          </cell>
          <cell r="F1110" t="str">
            <v>01.0210</v>
          </cell>
          <cell r="G1110">
            <v>41969</v>
          </cell>
          <cell r="H1110" t="str">
            <v>01.0210</v>
          </cell>
          <cell r="I1110" t="str">
            <v>גין מהנדסים בע"מ</v>
          </cell>
          <cell r="J1110">
            <v>0</v>
          </cell>
          <cell r="K1110" t="str">
            <v>₪</v>
          </cell>
          <cell r="M1110" t="str">
            <v>יח'</v>
          </cell>
        </row>
        <row r="1111">
          <cell r="B1111" t="str">
            <v>כלי החדרה ידני  M16</v>
          </cell>
          <cell r="C1111">
            <v>7232</v>
          </cell>
          <cell r="D1111">
            <v>1</v>
          </cell>
          <cell r="E1111" t="str">
            <v>קשיח</v>
          </cell>
          <cell r="F1111" t="str">
            <v>01.0214</v>
          </cell>
          <cell r="G1111">
            <v>41995</v>
          </cell>
          <cell r="H1111" t="str">
            <v>01.0214</v>
          </cell>
          <cell r="I1111" t="str">
            <v>לוונשטיין טכנולוגיות</v>
          </cell>
          <cell r="J1111">
            <v>0</v>
          </cell>
          <cell r="K1111" t="str">
            <v>₪</v>
          </cell>
          <cell r="L1111">
            <v>1</v>
          </cell>
          <cell r="M1111" t="str">
            <v>יח'</v>
          </cell>
          <cell r="N1111">
            <v>0</v>
          </cell>
        </row>
        <row r="1112">
          <cell r="B1112" t="str">
            <v>שובר לשונית M2 ו 2-56</v>
          </cell>
          <cell r="C1112">
            <v>41796</v>
          </cell>
          <cell r="D1112">
            <v>1</v>
          </cell>
          <cell r="E1112" t="str">
            <v>קשיח</v>
          </cell>
          <cell r="F1112" t="str">
            <v>01.0215</v>
          </cell>
          <cell r="G1112">
            <v>45882</v>
          </cell>
          <cell r="H1112" t="str">
            <v>01.0215</v>
          </cell>
          <cell r="I1112" t="str">
            <v>לוונשטיין טכנולוגיות בע"מ</v>
          </cell>
          <cell r="J1112">
            <v>180</v>
          </cell>
          <cell r="K1112" t="str">
            <v>₪</v>
          </cell>
          <cell r="L1112">
            <v>1</v>
          </cell>
          <cell r="M1112" t="str">
            <v>יח'</v>
          </cell>
          <cell r="N1112">
            <v>180</v>
          </cell>
        </row>
        <row r="1113">
          <cell r="B1113" t="str">
            <v>שובר לשונית M2 ו 2-56</v>
          </cell>
          <cell r="C1113">
            <v>39991</v>
          </cell>
          <cell r="D1113">
            <v>1</v>
          </cell>
          <cell r="E1113" t="str">
            <v>קשיח</v>
          </cell>
          <cell r="F1113" t="str">
            <v>01.0215</v>
          </cell>
          <cell r="G1113">
            <v>45715</v>
          </cell>
          <cell r="H1113" t="str">
            <v>01.0215</v>
          </cell>
          <cell r="I1113" t="str">
            <v>לוונשטיין טכנולוגיות בע"מ</v>
          </cell>
          <cell r="J1113">
            <v>170</v>
          </cell>
          <cell r="K1113" t="str">
            <v>₪</v>
          </cell>
          <cell r="L1113">
            <v>10</v>
          </cell>
          <cell r="M1113" t="str">
            <v>יח'</v>
          </cell>
          <cell r="N1113">
            <v>1700</v>
          </cell>
        </row>
        <row r="1114">
          <cell r="B1114" t="str">
            <v>שובר לשונית M2 ו 2-56</v>
          </cell>
          <cell r="C1114">
            <v>39749</v>
          </cell>
          <cell r="D1114">
            <v>11</v>
          </cell>
          <cell r="E1114" t="str">
            <v>קשיח</v>
          </cell>
          <cell r="F1114" t="str">
            <v>01.0215</v>
          </cell>
          <cell r="G1114">
            <v>45697</v>
          </cell>
          <cell r="H1114" t="str">
            <v>01.0215</v>
          </cell>
          <cell r="I1114" t="str">
            <v>לוונשטיין טכנולוגיות בע"מ</v>
          </cell>
          <cell r="J1114">
            <v>166.6</v>
          </cell>
          <cell r="K1114" t="str">
            <v>₪</v>
          </cell>
          <cell r="L1114">
            <v>1</v>
          </cell>
          <cell r="M1114" t="str">
            <v>יח'</v>
          </cell>
          <cell r="N1114">
            <v>166.6</v>
          </cell>
        </row>
        <row r="1115">
          <cell r="B1115" t="str">
            <v>שובר לשונית M2</v>
          </cell>
          <cell r="C1115">
            <v>39240</v>
          </cell>
          <cell r="D1115">
            <v>1</v>
          </cell>
          <cell r="E1115" t="str">
            <v>קשיח</v>
          </cell>
          <cell r="F1115" t="str">
            <v>01.0215</v>
          </cell>
          <cell r="G1115">
            <v>45649</v>
          </cell>
          <cell r="H1115" t="str">
            <v>01.0215</v>
          </cell>
          <cell r="I1115" t="str">
            <v>לוונשטיין טכנולוגיות בע"מ</v>
          </cell>
          <cell r="J1115">
            <v>170</v>
          </cell>
          <cell r="K1115" t="str">
            <v>₪</v>
          </cell>
          <cell r="L1115">
            <v>2</v>
          </cell>
          <cell r="M1115" t="str">
            <v>יח'</v>
          </cell>
          <cell r="N1115">
            <v>340</v>
          </cell>
        </row>
        <row r="1116">
          <cell r="B1116" t="str">
            <v>שובר לשונית M2</v>
          </cell>
          <cell r="C1116">
            <v>35082</v>
          </cell>
          <cell r="D1116">
            <v>1</v>
          </cell>
          <cell r="E1116" t="str">
            <v>קשיח</v>
          </cell>
          <cell r="F1116" t="str">
            <v>01.0215</v>
          </cell>
          <cell r="G1116">
            <v>45180</v>
          </cell>
          <cell r="H1116" t="str">
            <v>01.0215</v>
          </cell>
          <cell r="I1116" t="str">
            <v>דר טכנולוגיות בע"מ</v>
          </cell>
          <cell r="J1116">
            <v>350</v>
          </cell>
          <cell r="K1116" t="str">
            <v>₪</v>
          </cell>
          <cell r="L1116">
            <v>2</v>
          </cell>
          <cell r="M1116" t="str">
            <v>יח'</v>
          </cell>
          <cell r="N1116">
            <v>700</v>
          </cell>
        </row>
        <row r="1117">
          <cell r="B1117" t="str">
            <v>שובר לשונית M2</v>
          </cell>
          <cell r="C1117">
            <v>32627</v>
          </cell>
          <cell r="D1117">
            <v>3</v>
          </cell>
          <cell r="E1117" t="str">
            <v>קשיח</v>
          </cell>
          <cell r="F1117" t="str">
            <v>01.0215</v>
          </cell>
          <cell r="G1117">
            <v>44858</v>
          </cell>
          <cell r="H1117" t="str">
            <v>01.0215</v>
          </cell>
          <cell r="I1117" t="str">
            <v>דר טכנולוגיות בע"מ</v>
          </cell>
          <cell r="J1117">
            <v>250</v>
          </cell>
          <cell r="K1117" t="str">
            <v>₪</v>
          </cell>
          <cell r="L1117">
            <v>2</v>
          </cell>
          <cell r="M1117" t="str">
            <v>יח'</v>
          </cell>
          <cell r="N1117">
            <v>500</v>
          </cell>
        </row>
        <row r="1118">
          <cell r="B1118" t="str">
            <v>שובר לשונית M2</v>
          </cell>
          <cell r="C1118">
            <v>27199</v>
          </cell>
          <cell r="D1118">
            <v>1</v>
          </cell>
          <cell r="E1118" t="str">
            <v>קשיח</v>
          </cell>
          <cell r="F1118" t="str">
            <v>01.0215</v>
          </cell>
          <cell r="G1118">
            <v>44104</v>
          </cell>
          <cell r="H1118" t="str">
            <v>01.0215</v>
          </cell>
          <cell r="I1118" t="str">
            <v>לוונשטיין טכנולוגיות</v>
          </cell>
          <cell r="J1118">
            <v>170</v>
          </cell>
          <cell r="K1118" t="str">
            <v>₪</v>
          </cell>
          <cell r="L1118">
            <v>1</v>
          </cell>
          <cell r="M1118" t="str">
            <v>יח'</v>
          </cell>
          <cell r="N1118">
            <v>170</v>
          </cell>
        </row>
        <row r="1119">
          <cell r="B1119" t="str">
            <v>שובר לשונית M2</v>
          </cell>
          <cell r="C1119">
            <v>7232</v>
          </cell>
          <cell r="D1119">
            <v>2</v>
          </cell>
          <cell r="E1119" t="str">
            <v>קשיח</v>
          </cell>
          <cell r="F1119" t="str">
            <v>01.0215</v>
          </cell>
          <cell r="G1119">
            <v>41995</v>
          </cell>
          <cell r="H1119" t="str">
            <v>01.0215</v>
          </cell>
          <cell r="I1119" t="str">
            <v>לוונשטיין טכנולוגיות</v>
          </cell>
          <cell r="J1119">
            <v>0</v>
          </cell>
          <cell r="K1119" t="str">
            <v>₪</v>
          </cell>
          <cell r="L1119">
            <v>1</v>
          </cell>
          <cell r="M1119" t="str">
            <v>יח'</v>
          </cell>
          <cell r="N1119">
            <v>0</v>
          </cell>
        </row>
        <row r="1120">
          <cell r="B1120" t="str">
            <v>שובר לשונית M3</v>
          </cell>
          <cell r="C1120">
            <v>39749</v>
          </cell>
          <cell r="D1120">
            <v>13</v>
          </cell>
          <cell r="E1120" t="str">
            <v>קשיח</v>
          </cell>
          <cell r="F1120" t="str">
            <v>01.0216</v>
          </cell>
          <cell r="G1120">
            <v>45697</v>
          </cell>
          <cell r="H1120" t="str">
            <v>01.0216</v>
          </cell>
          <cell r="I1120" t="str">
            <v>לוונשטיין טכנולוגיות בע"מ</v>
          </cell>
          <cell r="J1120">
            <v>161.69999999999999</v>
          </cell>
          <cell r="K1120" t="str">
            <v>₪</v>
          </cell>
          <cell r="L1120">
            <v>2</v>
          </cell>
          <cell r="M1120" t="str">
            <v>יח'</v>
          </cell>
          <cell r="N1120">
            <v>323.39999999999998</v>
          </cell>
        </row>
        <row r="1121">
          <cell r="B1121" t="str">
            <v>שובר לשונית M3 /6-32/4-40</v>
          </cell>
          <cell r="C1121">
            <v>38562</v>
          </cell>
          <cell r="D1121">
            <v>5</v>
          </cell>
          <cell r="E1121" t="str">
            <v>קשיח</v>
          </cell>
          <cell r="F1121" t="str">
            <v>01.0216</v>
          </cell>
          <cell r="G1121">
            <v>45579</v>
          </cell>
          <cell r="H1121" t="str">
            <v>01.0216</v>
          </cell>
          <cell r="I1121" t="str">
            <v>לוונשטיין טכנולוגיות בע"מ</v>
          </cell>
          <cell r="J1121">
            <v>160</v>
          </cell>
          <cell r="K1121" t="str">
            <v>₪</v>
          </cell>
          <cell r="L1121">
            <v>3</v>
          </cell>
          <cell r="M1121" t="str">
            <v>יח'</v>
          </cell>
          <cell r="N1121">
            <v>480</v>
          </cell>
        </row>
        <row r="1122">
          <cell r="B1122" t="str">
            <v>שובר לשונית M3</v>
          </cell>
          <cell r="C1122">
            <v>32627</v>
          </cell>
          <cell r="D1122">
            <v>4</v>
          </cell>
          <cell r="E1122" t="str">
            <v>קשיח</v>
          </cell>
          <cell r="F1122" t="str">
            <v>01.0216</v>
          </cell>
          <cell r="G1122">
            <v>44858</v>
          </cell>
          <cell r="H1122" t="str">
            <v>01.0216</v>
          </cell>
          <cell r="I1122" t="str">
            <v>דר טכנולוגיות בע"מ</v>
          </cell>
          <cell r="J1122">
            <v>250</v>
          </cell>
          <cell r="K1122" t="str">
            <v>₪</v>
          </cell>
          <cell r="L1122">
            <v>2</v>
          </cell>
          <cell r="M1122" t="str">
            <v>יח'</v>
          </cell>
          <cell r="N1122">
            <v>500</v>
          </cell>
        </row>
        <row r="1123">
          <cell r="B1123" t="str">
            <v>שובר לשונית M3</v>
          </cell>
          <cell r="C1123">
            <v>27199</v>
          </cell>
          <cell r="D1123">
            <v>2</v>
          </cell>
          <cell r="E1123" t="str">
            <v>קשיח</v>
          </cell>
          <cell r="F1123" t="str">
            <v>01.0216</v>
          </cell>
          <cell r="G1123">
            <v>44104</v>
          </cell>
          <cell r="H1123" t="str">
            <v>01.0216</v>
          </cell>
          <cell r="I1123" t="str">
            <v>לוונשטיין טכנולוגיות</v>
          </cell>
          <cell r="J1123">
            <v>145</v>
          </cell>
          <cell r="K1123" t="str">
            <v>₪</v>
          </cell>
          <cell r="L1123">
            <v>1</v>
          </cell>
          <cell r="M1123" t="str">
            <v>יח'</v>
          </cell>
          <cell r="N1123">
            <v>145</v>
          </cell>
        </row>
        <row r="1124">
          <cell r="B1124" t="str">
            <v>שובר לשונית M3</v>
          </cell>
          <cell r="C1124">
            <v>7232</v>
          </cell>
          <cell r="D1124">
            <v>3</v>
          </cell>
          <cell r="E1124" t="str">
            <v>קשיח</v>
          </cell>
          <cell r="F1124" t="str">
            <v>01.0216</v>
          </cell>
          <cell r="G1124">
            <v>41995</v>
          </cell>
          <cell r="H1124" t="str">
            <v>01.0216</v>
          </cell>
          <cell r="I1124" t="str">
            <v>לוונשטיין טכנולוגיות</v>
          </cell>
          <cell r="J1124">
            <v>0</v>
          </cell>
          <cell r="K1124" t="str">
            <v>₪</v>
          </cell>
          <cell r="L1124">
            <v>1</v>
          </cell>
          <cell r="M1124" t="str">
            <v>יח'</v>
          </cell>
          <cell r="N1124">
            <v>0</v>
          </cell>
        </row>
        <row r="1125">
          <cell r="B1125" t="str">
            <v>NSERT LIGHTWEIGHT M8X1.25, OUTER THREAD M12X1.25, L</v>
          </cell>
          <cell r="C1125">
            <v>38906</v>
          </cell>
          <cell r="D1125">
            <v>2</v>
          </cell>
          <cell r="E1125" t="str">
            <v>קשיח</v>
          </cell>
          <cell r="F1125" t="str">
            <v>01.0218</v>
          </cell>
          <cell r="G1125">
            <v>45620</v>
          </cell>
          <cell r="H1125" t="str">
            <v>01.0218</v>
          </cell>
          <cell r="I1125" t="str">
            <v>דר טכנולוגיות בע"מ</v>
          </cell>
          <cell r="J1125">
            <v>18.600000000000001</v>
          </cell>
          <cell r="K1125" t="str">
            <v>₪</v>
          </cell>
          <cell r="M1125" t="str">
            <v>יח'</v>
          </cell>
        </row>
        <row r="1126">
          <cell r="B1126" t="str">
            <v>MS51830-206</v>
          </cell>
          <cell r="C1126">
            <v>41775</v>
          </cell>
          <cell r="D1126">
            <v>9</v>
          </cell>
          <cell r="E1126" t="str">
            <v>קשיח</v>
          </cell>
          <cell r="F1126" t="str">
            <v>01.0220</v>
          </cell>
          <cell r="G1126">
            <v>45881</v>
          </cell>
          <cell r="H1126" t="str">
            <v>01.0220</v>
          </cell>
          <cell r="I1126" t="str">
            <v>גין מהנדסים בע"מ</v>
          </cell>
          <cell r="J1126">
            <v>10.96</v>
          </cell>
          <cell r="K1126" t="str">
            <v>₪</v>
          </cell>
          <cell r="L1126">
            <v>1000</v>
          </cell>
          <cell r="M1126" t="str">
            <v>יח'</v>
          </cell>
          <cell r="N1126">
            <v>10960</v>
          </cell>
        </row>
        <row r="1127">
          <cell r="B1127" t="str">
            <v>MS51830-206</v>
          </cell>
          <cell r="C1127">
            <v>41775</v>
          </cell>
          <cell r="D1127">
            <v>10</v>
          </cell>
          <cell r="E1127" t="str">
            <v>קשיח</v>
          </cell>
          <cell r="F1127" t="str">
            <v>01.0220</v>
          </cell>
          <cell r="G1127">
            <v>45881</v>
          </cell>
          <cell r="H1127" t="str">
            <v>01.0220</v>
          </cell>
          <cell r="I1127" t="str">
            <v>גין מהנדסים בע"מ</v>
          </cell>
          <cell r="J1127">
            <v>10.96</v>
          </cell>
          <cell r="K1127" t="str">
            <v>₪</v>
          </cell>
          <cell r="L1127">
            <v>1000</v>
          </cell>
          <cell r="M1127" t="str">
            <v>יח'</v>
          </cell>
          <cell r="N1127">
            <v>10960</v>
          </cell>
        </row>
        <row r="1128">
          <cell r="B1128" t="str">
            <v>MS51830-206</v>
          </cell>
          <cell r="C1128">
            <v>41775</v>
          </cell>
          <cell r="D1128">
            <v>11</v>
          </cell>
          <cell r="E1128" t="str">
            <v>קשיח</v>
          </cell>
          <cell r="F1128" t="str">
            <v>01.0220</v>
          </cell>
          <cell r="G1128">
            <v>45881</v>
          </cell>
          <cell r="H1128" t="str">
            <v>01.0220</v>
          </cell>
          <cell r="I1128" t="str">
            <v>גין מהנדסים בע"מ</v>
          </cell>
          <cell r="J1128">
            <v>10.96</v>
          </cell>
          <cell r="K1128" t="str">
            <v>₪</v>
          </cell>
          <cell r="L1128">
            <v>1000</v>
          </cell>
          <cell r="M1128" t="str">
            <v>יח'</v>
          </cell>
          <cell r="N1128">
            <v>10960</v>
          </cell>
        </row>
        <row r="1129">
          <cell r="B1129" t="str">
            <v>MS51830-206</v>
          </cell>
          <cell r="C1129">
            <v>41775</v>
          </cell>
          <cell r="D1129">
            <v>12</v>
          </cell>
          <cell r="E1129" t="str">
            <v>קשיח</v>
          </cell>
          <cell r="F1129" t="str">
            <v>01.0220</v>
          </cell>
          <cell r="G1129">
            <v>45881</v>
          </cell>
          <cell r="H1129" t="str">
            <v>01.0220</v>
          </cell>
          <cell r="I1129" t="str">
            <v>גין מהנדסים בע"מ</v>
          </cell>
          <cell r="J1129">
            <v>10.96</v>
          </cell>
          <cell r="K1129" t="str">
            <v>₪</v>
          </cell>
          <cell r="L1129">
            <v>1000</v>
          </cell>
          <cell r="M1129" t="str">
            <v>יח'</v>
          </cell>
          <cell r="N1129">
            <v>10960</v>
          </cell>
        </row>
        <row r="1130">
          <cell r="B1130" t="str">
            <v>MS51830-206</v>
          </cell>
          <cell r="C1130">
            <v>41775</v>
          </cell>
          <cell r="D1130">
            <v>13</v>
          </cell>
          <cell r="E1130" t="str">
            <v>קשיח</v>
          </cell>
          <cell r="F1130" t="str">
            <v>01.0220</v>
          </cell>
          <cell r="G1130">
            <v>45881</v>
          </cell>
          <cell r="H1130" t="str">
            <v>01.0220</v>
          </cell>
          <cell r="I1130" t="str">
            <v>גין מהנדסים בע"מ</v>
          </cell>
          <cell r="J1130">
            <v>10.96</v>
          </cell>
          <cell r="K1130" t="str">
            <v>₪</v>
          </cell>
          <cell r="L1130">
            <v>1000</v>
          </cell>
          <cell r="M1130" t="str">
            <v>יח'</v>
          </cell>
          <cell r="N1130">
            <v>10960</v>
          </cell>
        </row>
        <row r="1131">
          <cell r="B1131" t="str">
            <v>MS51830-206</v>
          </cell>
          <cell r="C1131">
            <v>41728</v>
          </cell>
          <cell r="D1131">
            <v>4</v>
          </cell>
          <cell r="E1131" t="str">
            <v>קשיח</v>
          </cell>
          <cell r="F1131" t="str">
            <v>01.0220</v>
          </cell>
          <cell r="G1131">
            <v>45875</v>
          </cell>
          <cell r="H1131" t="str">
            <v>01.0220</v>
          </cell>
          <cell r="I1131" t="str">
            <v>גין מהנדסים בע"מ</v>
          </cell>
          <cell r="J1131">
            <v>10.962999999999999</v>
          </cell>
          <cell r="K1131" t="str">
            <v>₪</v>
          </cell>
          <cell r="L1131">
            <v>1000</v>
          </cell>
          <cell r="M1131" t="str">
            <v>יח'</v>
          </cell>
          <cell r="N1131">
            <v>10963</v>
          </cell>
        </row>
        <row r="1132">
          <cell r="B1132" t="str">
            <v>MS51830-206</v>
          </cell>
          <cell r="C1132">
            <v>41728</v>
          </cell>
          <cell r="D1132">
            <v>5</v>
          </cell>
          <cell r="E1132" t="str">
            <v>קשיח</v>
          </cell>
          <cell r="F1132" t="str">
            <v>01.0220</v>
          </cell>
          <cell r="G1132">
            <v>45875</v>
          </cell>
          <cell r="H1132" t="str">
            <v>01.0220</v>
          </cell>
          <cell r="I1132" t="str">
            <v>גין מהנדסים בע"מ</v>
          </cell>
          <cell r="J1132">
            <v>10.962999999999999</v>
          </cell>
          <cell r="K1132" t="str">
            <v>₪</v>
          </cell>
          <cell r="L1132">
            <v>2300</v>
          </cell>
          <cell r="M1132" t="str">
            <v>יח'</v>
          </cell>
          <cell r="N1132">
            <v>25214.899999999998</v>
          </cell>
        </row>
        <row r="1133">
          <cell r="B1133" t="str">
            <v>MS51830-206</v>
          </cell>
          <cell r="C1133">
            <v>41728</v>
          </cell>
          <cell r="D1133">
            <v>6</v>
          </cell>
          <cell r="E1133" t="str">
            <v>קשיח</v>
          </cell>
          <cell r="F1133" t="str">
            <v>01.0220</v>
          </cell>
          <cell r="G1133">
            <v>45875</v>
          </cell>
          <cell r="H1133" t="str">
            <v>01.0220</v>
          </cell>
          <cell r="I1133" t="str">
            <v>גין מהנדסים בע"מ</v>
          </cell>
          <cell r="J1133">
            <v>10.962999999999999</v>
          </cell>
          <cell r="K1133" t="str">
            <v>₪</v>
          </cell>
          <cell r="L1133">
            <v>2300</v>
          </cell>
          <cell r="M1133" t="str">
            <v>יח'</v>
          </cell>
          <cell r="N1133">
            <v>25214.899999999998</v>
          </cell>
        </row>
        <row r="1134">
          <cell r="B1134" t="str">
            <v>MS51830-206</v>
          </cell>
          <cell r="C1134">
            <v>41728</v>
          </cell>
          <cell r="D1134">
            <v>7</v>
          </cell>
          <cell r="E1134" t="str">
            <v>קשיח</v>
          </cell>
          <cell r="F1134" t="str">
            <v>01.0220</v>
          </cell>
          <cell r="G1134">
            <v>45875</v>
          </cell>
          <cell r="H1134" t="str">
            <v>01.0220</v>
          </cell>
          <cell r="I1134" t="str">
            <v>גין מהנדסים בע"מ</v>
          </cell>
          <cell r="J1134">
            <v>10.962999999999999</v>
          </cell>
          <cell r="K1134" t="str">
            <v>₪</v>
          </cell>
          <cell r="L1134">
            <v>1300</v>
          </cell>
          <cell r="M1134" t="str">
            <v>יח'</v>
          </cell>
          <cell r="N1134">
            <v>14251.9</v>
          </cell>
        </row>
        <row r="1135">
          <cell r="B1135" t="str">
            <v>MS51830-206</v>
          </cell>
          <cell r="C1135">
            <v>39656</v>
          </cell>
          <cell r="D1135">
            <v>1</v>
          </cell>
          <cell r="E1135" t="str">
            <v>קשיח</v>
          </cell>
          <cell r="F1135" t="str">
            <v>01.0220</v>
          </cell>
          <cell r="G1135">
            <v>45687</v>
          </cell>
          <cell r="H1135" t="str">
            <v>01.0220</v>
          </cell>
          <cell r="I1135" t="str">
            <v>לוונשטיין טכנולוגיות בע"מ</v>
          </cell>
          <cell r="J1135">
            <v>14.6</v>
          </cell>
          <cell r="K1135" t="str">
            <v>₪</v>
          </cell>
          <cell r="L1135">
            <v>1000</v>
          </cell>
          <cell r="M1135" t="str">
            <v>יח'</v>
          </cell>
          <cell r="N1135">
            <v>14600</v>
          </cell>
        </row>
        <row r="1136">
          <cell r="B1136" t="str">
            <v>MS51830-206</v>
          </cell>
          <cell r="C1136">
            <v>39588</v>
          </cell>
          <cell r="D1136">
            <v>1</v>
          </cell>
          <cell r="E1136" t="str">
            <v>קשיח</v>
          </cell>
          <cell r="F1136" t="str">
            <v>01.0220</v>
          </cell>
          <cell r="G1136">
            <v>45683</v>
          </cell>
          <cell r="H1136" t="str">
            <v>01.0220</v>
          </cell>
          <cell r="I1136" t="str">
            <v>לוונשטיין טכנולוגיות בע"מ</v>
          </cell>
          <cell r="J1136">
            <v>11.35</v>
          </cell>
          <cell r="K1136" t="str">
            <v>₪</v>
          </cell>
          <cell r="L1136">
            <v>2000</v>
          </cell>
          <cell r="M1136" t="str">
            <v>יח'</v>
          </cell>
          <cell r="N1136">
            <v>22700</v>
          </cell>
        </row>
        <row r="1137">
          <cell r="B1137" t="str">
            <v>MS51830-206</v>
          </cell>
          <cell r="C1137">
            <v>39588</v>
          </cell>
          <cell r="D1137">
            <v>2</v>
          </cell>
          <cell r="E1137" t="str">
            <v>קשיח</v>
          </cell>
          <cell r="F1137" t="str">
            <v>01.0220</v>
          </cell>
          <cell r="G1137">
            <v>45683</v>
          </cell>
          <cell r="H1137" t="str">
            <v>01.0220</v>
          </cell>
          <cell r="I1137" t="str">
            <v>לוונשטיין טכנולוגיות בע"מ</v>
          </cell>
          <cell r="J1137">
            <v>11.75</v>
          </cell>
          <cell r="K1137" t="str">
            <v>₪</v>
          </cell>
          <cell r="L1137">
            <v>2000</v>
          </cell>
          <cell r="M1137" t="str">
            <v>יח'</v>
          </cell>
          <cell r="N1137">
            <v>23500</v>
          </cell>
        </row>
        <row r="1138">
          <cell r="B1138" t="str">
            <v>MS51830-206</v>
          </cell>
          <cell r="C1138">
            <v>39588</v>
          </cell>
          <cell r="D1138">
            <v>3</v>
          </cell>
          <cell r="E1138" t="str">
            <v>קשיח</v>
          </cell>
          <cell r="F1138" t="str">
            <v>01.0220</v>
          </cell>
          <cell r="G1138">
            <v>45683</v>
          </cell>
          <cell r="H1138" t="str">
            <v>01.0220</v>
          </cell>
          <cell r="I1138" t="str">
            <v>לוונשטיין טכנולוגיות בע"מ</v>
          </cell>
          <cell r="J1138">
            <v>11.75</v>
          </cell>
          <cell r="K1138" t="str">
            <v>₪</v>
          </cell>
          <cell r="L1138">
            <v>2000</v>
          </cell>
          <cell r="M1138" t="str">
            <v>יח'</v>
          </cell>
          <cell r="N1138">
            <v>23500</v>
          </cell>
        </row>
        <row r="1139">
          <cell r="B1139" t="str">
            <v>MS51830-206</v>
          </cell>
          <cell r="C1139">
            <v>39588</v>
          </cell>
          <cell r="D1139">
            <v>4</v>
          </cell>
          <cell r="E1139" t="str">
            <v>קשיח</v>
          </cell>
          <cell r="F1139" t="str">
            <v>01.0220</v>
          </cell>
          <cell r="G1139">
            <v>45683</v>
          </cell>
          <cell r="H1139" t="str">
            <v>01.0220</v>
          </cell>
          <cell r="I1139" t="str">
            <v>לוונשטיין טכנולוגיות בע"מ</v>
          </cell>
          <cell r="J1139">
            <v>11.75</v>
          </cell>
          <cell r="K1139" t="str">
            <v>₪</v>
          </cell>
          <cell r="L1139">
            <v>1000</v>
          </cell>
          <cell r="M1139" t="str">
            <v>יח'</v>
          </cell>
          <cell r="N1139">
            <v>11750</v>
          </cell>
        </row>
        <row r="1140">
          <cell r="B1140" t="str">
            <v>MS51830-206</v>
          </cell>
          <cell r="C1140">
            <v>39266</v>
          </cell>
          <cell r="D1140">
            <v>1</v>
          </cell>
          <cell r="E1140" t="str">
            <v>קשיח</v>
          </cell>
          <cell r="F1140" t="str">
            <v>01.0220</v>
          </cell>
          <cell r="G1140">
            <v>45650</v>
          </cell>
          <cell r="H1140" t="str">
            <v>01.0220</v>
          </cell>
          <cell r="I1140" t="str">
            <v>לוונשטיין טכנולוגיות בע"מ</v>
          </cell>
          <cell r="J1140">
            <v>14.6</v>
          </cell>
          <cell r="K1140" t="str">
            <v>₪</v>
          </cell>
          <cell r="L1140">
            <v>440</v>
          </cell>
          <cell r="M1140" t="str">
            <v>יח'</v>
          </cell>
          <cell r="N1140">
            <v>6424</v>
          </cell>
        </row>
        <row r="1141">
          <cell r="B1141" t="str">
            <v>MS51830-206</v>
          </cell>
          <cell r="C1141">
            <v>38078</v>
          </cell>
          <cell r="D1141">
            <v>4</v>
          </cell>
          <cell r="E1141" t="str">
            <v>קשיח</v>
          </cell>
          <cell r="F1141" t="str">
            <v>01.0220</v>
          </cell>
          <cell r="G1141">
            <v>45522</v>
          </cell>
          <cell r="H1141" t="str">
            <v>01.0220</v>
          </cell>
          <cell r="I1141" t="str">
            <v>גין מהנדסים בע"מ</v>
          </cell>
          <cell r="J1141">
            <v>10.5</v>
          </cell>
          <cell r="K1141" t="str">
            <v>₪</v>
          </cell>
          <cell r="L1141">
            <v>500</v>
          </cell>
          <cell r="M1141" t="str">
            <v>יח'</v>
          </cell>
          <cell r="N1141">
            <v>5250</v>
          </cell>
        </row>
        <row r="1142">
          <cell r="B1142" t="str">
            <v>MS51830-206</v>
          </cell>
          <cell r="C1142">
            <v>30241</v>
          </cell>
          <cell r="D1142">
            <v>1</v>
          </cell>
          <cell r="E1142" t="str">
            <v>קשיח</v>
          </cell>
          <cell r="F1142" t="str">
            <v>01.0220</v>
          </cell>
          <cell r="G1142">
            <v>44518</v>
          </cell>
          <cell r="H1142" t="str">
            <v>01.0220</v>
          </cell>
          <cell r="I1142" t="str">
            <v>לוונשטיין טכנולוגיות בע"מ</v>
          </cell>
          <cell r="J1142">
            <v>14.6</v>
          </cell>
          <cell r="K1142" t="str">
            <v>₪</v>
          </cell>
          <cell r="L1142">
            <v>1000</v>
          </cell>
          <cell r="M1142" t="str">
            <v>יח'</v>
          </cell>
          <cell r="N1142">
            <v>14600</v>
          </cell>
        </row>
        <row r="1143">
          <cell r="B1143" t="str">
            <v>MS51830-206</v>
          </cell>
          <cell r="C1143">
            <v>30190</v>
          </cell>
          <cell r="D1143">
            <v>1</v>
          </cell>
          <cell r="E1143" t="str">
            <v>קשיח</v>
          </cell>
          <cell r="F1143" t="str">
            <v>01.0220</v>
          </cell>
          <cell r="G1143">
            <v>44514</v>
          </cell>
          <cell r="H1143" t="str">
            <v>01.0220</v>
          </cell>
          <cell r="I1143" t="str">
            <v>לוונשטיין טכנולוגיות בע"מ</v>
          </cell>
          <cell r="J1143">
            <v>14.6</v>
          </cell>
          <cell r="K1143" t="str">
            <v>₪</v>
          </cell>
          <cell r="L1143">
            <v>500</v>
          </cell>
          <cell r="M1143" t="str">
            <v>יח'</v>
          </cell>
          <cell r="N1143">
            <v>7300</v>
          </cell>
        </row>
        <row r="1144">
          <cell r="B1144" t="str">
            <v>MS51830-206</v>
          </cell>
          <cell r="C1144">
            <v>29638</v>
          </cell>
          <cell r="D1144">
            <v>1</v>
          </cell>
          <cell r="E1144" t="str">
            <v>קשיח</v>
          </cell>
          <cell r="F1144" t="str">
            <v>01.0220</v>
          </cell>
          <cell r="G1144">
            <v>44433</v>
          </cell>
          <cell r="H1144" t="str">
            <v>01.0220</v>
          </cell>
          <cell r="I1144" t="str">
            <v>גין מהנדסים בע"מ</v>
          </cell>
          <cell r="J1144">
            <v>10.64</v>
          </cell>
          <cell r="K1144" t="str">
            <v>₪</v>
          </cell>
          <cell r="L1144">
            <v>660</v>
          </cell>
          <cell r="M1144" t="str">
            <v>יח'</v>
          </cell>
          <cell r="N1144">
            <v>7022.4000000000005</v>
          </cell>
        </row>
        <row r="1145">
          <cell r="B1145" t="str">
            <v>MS51830-206</v>
          </cell>
          <cell r="C1145">
            <v>29017</v>
          </cell>
          <cell r="D1145">
            <v>1</v>
          </cell>
          <cell r="E1145" t="str">
            <v>קשיח</v>
          </cell>
          <cell r="F1145" t="str">
            <v>01.0220</v>
          </cell>
          <cell r="G1145">
            <v>44353</v>
          </cell>
          <cell r="H1145" t="str">
            <v>01.0220</v>
          </cell>
          <cell r="I1145" t="str">
            <v>גין מהנדסים בע"מ</v>
          </cell>
          <cell r="J1145">
            <v>10.64</v>
          </cell>
          <cell r="K1145" t="str">
            <v>₪</v>
          </cell>
          <cell r="L1145">
            <v>2000</v>
          </cell>
          <cell r="M1145" t="str">
            <v>יח'</v>
          </cell>
          <cell r="N1145">
            <v>21280</v>
          </cell>
        </row>
        <row r="1146">
          <cell r="B1146" t="str">
            <v>MS51830-206</v>
          </cell>
          <cell r="C1146">
            <v>28522</v>
          </cell>
          <cell r="D1146">
            <v>1</v>
          </cell>
          <cell r="E1146" t="str">
            <v>קשיח</v>
          </cell>
          <cell r="F1146" t="str">
            <v>01.0220</v>
          </cell>
          <cell r="G1146">
            <v>44290</v>
          </cell>
          <cell r="H1146" t="str">
            <v>01.0220</v>
          </cell>
          <cell r="I1146" t="str">
            <v>גין מהנדסים בע"מ</v>
          </cell>
          <cell r="J1146">
            <v>10.64</v>
          </cell>
          <cell r="K1146" t="str">
            <v>₪</v>
          </cell>
          <cell r="L1146">
            <v>200</v>
          </cell>
          <cell r="M1146" t="str">
            <v>יח'</v>
          </cell>
          <cell r="N1146">
            <v>2128</v>
          </cell>
        </row>
        <row r="1147">
          <cell r="B1147" t="str">
            <v>MS51830-206</v>
          </cell>
          <cell r="C1147">
            <v>28208</v>
          </cell>
          <cell r="D1147">
            <v>1</v>
          </cell>
          <cell r="E1147" t="str">
            <v>קשיח</v>
          </cell>
          <cell r="F1147" t="str">
            <v>01.0220</v>
          </cell>
          <cell r="G1147">
            <v>44243</v>
          </cell>
          <cell r="H1147" t="str">
            <v>01.0220</v>
          </cell>
          <cell r="I1147" t="str">
            <v>גין מהנדסים בע"מ</v>
          </cell>
          <cell r="J1147">
            <v>10.64</v>
          </cell>
          <cell r="K1147" t="str">
            <v>₪</v>
          </cell>
          <cell r="L1147">
            <v>300</v>
          </cell>
          <cell r="M1147" t="str">
            <v>יח'</v>
          </cell>
          <cell r="N1147">
            <v>3192</v>
          </cell>
        </row>
        <row r="1148">
          <cell r="B1148" t="str">
            <v>MS51830-206</v>
          </cell>
          <cell r="C1148">
            <v>27431</v>
          </cell>
          <cell r="D1148">
            <v>1</v>
          </cell>
          <cell r="E1148" t="str">
            <v>קשיח</v>
          </cell>
          <cell r="F1148" t="str">
            <v>01.0220</v>
          </cell>
          <cell r="G1148">
            <v>44138</v>
          </cell>
          <cell r="H1148" t="str">
            <v>01.0220</v>
          </cell>
          <cell r="I1148" t="str">
            <v>גין מהנדסים בע"מ</v>
          </cell>
          <cell r="J1148">
            <v>13</v>
          </cell>
          <cell r="K1148" t="str">
            <v>₪</v>
          </cell>
          <cell r="L1148">
            <v>200</v>
          </cell>
          <cell r="M1148" t="str">
            <v>יח'</v>
          </cell>
          <cell r="N1148">
            <v>2600</v>
          </cell>
        </row>
        <row r="1149">
          <cell r="B1149" t="str">
            <v>MS51830-206</v>
          </cell>
          <cell r="C1149">
            <v>24617</v>
          </cell>
          <cell r="D1149">
            <v>7</v>
          </cell>
          <cell r="E1149" t="str">
            <v>קשיח</v>
          </cell>
          <cell r="F1149" t="str">
            <v>01.0220</v>
          </cell>
          <cell r="G1149">
            <v>43710</v>
          </cell>
          <cell r="H1149" t="str">
            <v>01.0220</v>
          </cell>
          <cell r="I1149" t="str">
            <v>גין מהנדסים בע"מ</v>
          </cell>
          <cell r="J1149">
            <v>12.5</v>
          </cell>
          <cell r="K1149" t="str">
            <v>₪</v>
          </cell>
          <cell r="L1149">
            <v>200</v>
          </cell>
          <cell r="M1149" t="str">
            <v>יח'</v>
          </cell>
          <cell r="N1149">
            <v>2500</v>
          </cell>
        </row>
        <row r="1150">
          <cell r="B1150" t="str">
            <v>MS51830-206</v>
          </cell>
          <cell r="C1150">
            <v>24334</v>
          </cell>
          <cell r="D1150">
            <v>1</v>
          </cell>
          <cell r="E1150" t="str">
            <v>קשיח</v>
          </cell>
          <cell r="F1150" t="str">
            <v>01.0220</v>
          </cell>
          <cell r="G1150">
            <v>43670</v>
          </cell>
          <cell r="H1150" t="str">
            <v>01.0220</v>
          </cell>
          <cell r="I1150" t="str">
            <v>גין מהנדסים בע"מ</v>
          </cell>
          <cell r="J1150">
            <v>0</v>
          </cell>
          <cell r="K1150" t="str">
            <v>₪</v>
          </cell>
          <cell r="M1150" t="str">
            <v>יח'</v>
          </cell>
        </row>
        <row r="1151">
          <cell r="B1151" t="str">
            <v>MS51830-206</v>
          </cell>
          <cell r="C1151">
            <v>20939</v>
          </cell>
          <cell r="D1151">
            <v>1</v>
          </cell>
          <cell r="E1151" t="str">
            <v>קשיח</v>
          </cell>
          <cell r="F1151" t="str">
            <v>01.0220</v>
          </cell>
          <cell r="G1151">
            <v>43249</v>
          </cell>
          <cell r="H1151" t="str">
            <v>01.0220</v>
          </cell>
          <cell r="I1151" t="str">
            <v>גין מהנדסים בע"מ</v>
          </cell>
          <cell r="J1151">
            <v>0</v>
          </cell>
          <cell r="K1151" t="str">
            <v>₪</v>
          </cell>
          <cell r="M1151" t="str">
            <v>יח'</v>
          </cell>
        </row>
        <row r="1152">
          <cell r="B1152" t="str">
            <v>MS122161</v>
          </cell>
          <cell r="C1152">
            <v>45039</v>
          </cell>
          <cell r="D1152">
            <v>1</v>
          </cell>
          <cell r="E1152" t="str">
            <v>קשיח</v>
          </cell>
          <cell r="F1152" t="str">
            <v>01.0228</v>
          </cell>
          <cell r="G1152">
            <v>46084.438439618054</v>
          </cell>
          <cell r="H1152" t="str">
            <v>01.0228</v>
          </cell>
          <cell r="I1152" t="str">
            <v>דר טכנולוגיות בע"מ</v>
          </cell>
          <cell r="J1152">
            <v>0.65</v>
          </cell>
          <cell r="K1152" t="str">
            <v>₪</v>
          </cell>
          <cell r="L1152">
            <v>100</v>
          </cell>
          <cell r="M1152" t="str">
            <v>יח'</v>
          </cell>
          <cell r="N1152">
            <v>65</v>
          </cell>
        </row>
        <row r="1153">
          <cell r="B1153" t="str">
            <v>MS122161</v>
          </cell>
          <cell r="C1153">
            <v>45034</v>
          </cell>
          <cell r="D1153">
            <v>1</v>
          </cell>
          <cell r="E1153" t="str">
            <v>קשיח</v>
          </cell>
          <cell r="F1153" t="str">
            <v>01.0228</v>
          </cell>
          <cell r="G1153">
            <v>46083</v>
          </cell>
          <cell r="H1153" t="str">
            <v>01.0228</v>
          </cell>
          <cell r="I1153" t="str">
            <v>דר טכנולוגיות בע"מ</v>
          </cell>
          <cell r="J1153">
            <v>0.65</v>
          </cell>
          <cell r="K1153" t="str">
            <v>₪</v>
          </cell>
          <cell r="L1153">
            <v>100</v>
          </cell>
          <cell r="M1153" t="str">
            <v>יח'</v>
          </cell>
          <cell r="N1153">
            <v>65</v>
          </cell>
        </row>
        <row r="1154">
          <cell r="B1154" t="str">
            <v>MS122161</v>
          </cell>
          <cell r="C1154">
            <v>38850</v>
          </cell>
          <cell r="D1154">
            <v>1</v>
          </cell>
          <cell r="E1154" t="str">
            <v>קשיח</v>
          </cell>
          <cell r="F1154" t="str">
            <v>01.0228</v>
          </cell>
          <cell r="G1154">
            <v>45614</v>
          </cell>
          <cell r="H1154" t="str">
            <v>01.0228</v>
          </cell>
          <cell r="I1154" t="str">
            <v>דר טכנולוגיות בע"מ</v>
          </cell>
          <cell r="J1154">
            <v>0.65</v>
          </cell>
          <cell r="K1154" t="str">
            <v>₪</v>
          </cell>
          <cell r="L1154">
            <v>250</v>
          </cell>
          <cell r="M1154" t="str">
            <v>יח'</v>
          </cell>
          <cell r="N1154">
            <v>162.5</v>
          </cell>
        </row>
        <row r="1155">
          <cell r="B1155" t="str">
            <v>MS122161</v>
          </cell>
          <cell r="C1155">
            <v>29963</v>
          </cell>
          <cell r="D1155">
            <v>1</v>
          </cell>
          <cell r="E1155" t="str">
            <v>קשיח</v>
          </cell>
          <cell r="F1155" t="str">
            <v>01.0228</v>
          </cell>
          <cell r="G1155">
            <v>44483</v>
          </cell>
          <cell r="H1155" t="str">
            <v>01.0228</v>
          </cell>
          <cell r="I1155" t="str">
            <v>דר טכנולוגיות בע"מ</v>
          </cell>
          <cell r="J1155">
            <v>0.55159999999999998</v>
          </cell>
          <cell r="K1155" t="str">
            <v>₪</v>
          </cell>
          <cell r="L1155">
            <v>500</v>
          </cell>
          <cell r="M1155" t="str">
            <v>יח'</v>
          </cell>
          <cell r="N1155">
            <v>275.8</v>
          </cell>
        </row>
        <row r="1156">
          <cell r="B1156" t="str">
            <v>MS122161</v>
          </cell>
          <cell r="C1156">
            <v>26766</v>
          </cell>
          <cell r="D1156">
            <v>2</v>
          </cell>
          <cell r="E1156" t="str">
            <v>קשיח</v>
          </cell>
          <cell r="F1156" t="str">
            <v>01.0228</v>
          </cell>
          <cell r="G1156">
            <v>44042</v>
          </cell>
          <cell r="H1156" t="str">
            <v>01.0228</v>
          </cell>
          <cell r="I1156" t="str">
            <v>דר טכנולוגיות בע"מ</v>
          </cell>
          <cell r="J1156">
            <v>0.55000000000000004</v>
          </cell>
          <cell r="K1156" t="str">
            <v>₪</v>
          </cell>
          <cell r="L1156">
            <v>500</v>
          </cell>
          <cell r="M1156" t="str">
            <v>יח'</v>
          </cell>
          <cell r="N1156">
            <v>275</v>
          </cell>
        </row>
        <row r="1157">
          <cell r="B1157" t="str">
            <v>MS122161</v>
          </cell>
          <cell r="C1157">
            <v>24509</v>
          </cell>
          <cell r="D1157">
            <v>1</v>
          </cell>
          <cell r="E1157" t="str">
            <v>קשיח</v>
          </cell>
          <cell r="F1157" t="str">
            <v>01.0228</v>
          </cell>
          <cell r="G1157">
            <v>43692</v>
          </cell>
          <cell r="H1157" t="str">
            <v>01.0228</v>
          </cell>
          <cell r="I1157" t="str">
            <v>לוונשטיין טכנולוגיות</v>
          </cell>
          <cell r="J1157">
            <v>1.4</v>
          </cell>
          <cell r="K1157" t="str">
            <v>₪</v>
          </cell>
          <cell r="L1157">
            <v>500</v>
          </cell>
          <cell r="M1157" t="str">
            <v>יח'</v>
          </cell>
          <cell r="N1157">
            <v>700</v>
          </cell>
        </row>
        <row r="1158">
          <cell r="B1158" t="str">
            <v>MS122161</v>
          </cell>
          <cell r="C1158">
            <v>8059</v>
          </cell>
          <cell r="D1158">
            <v>2</v>
          </cell>
          <cell r="E1158" t="str">
            <v>קשיח</v>
          </cell>
          <cell r="F1158" t="str">
            <v>01.0228</v>
          </cell>
          <cell r="G1158">
            <v>42081</v>
          </cell>
          <cell r="H1158" t="str">
            <v>01.0228</v>
          </cell>
          <cell r="I1158" t="str">
            <v>גין מהנדסים בע"מ</v>
          </cell>
          <cell r="J1158">
            <v>0</v>
          </cell>
          <cell r="K1158" t="str">
            <v>₪</v>
          </cell>
          <cell r="M1158" t="str">
            <v>יח'</v>
          </cell>
        </row>
        <row r="1159">
          <cell r="B1159" t="str">
            <v>MS122160</v>
          </cell>
          <cell r="C1159">
            <v>44629</v>
          </cell>
          <cell r="D1159">
            <v>1</v>
          </cell>
          <cell r="E1159" t="str">
            <v>קשיח</v>
          </cell>
          <cell r="F1159" t="str">
            <v>01.0230</v>
          </cell>
          <cell r="G1159">
            <v>46049</v>
          </cell>
          <cell r="H1159" t="str">
            <v>01.0230</v>
          </cell>
          <cell r="I1159" t="str">
            <v>גין מהנדסים בע"מ</v>
          </cell>
          <cell r="J1159">
            <v>1.5</v>
          </cell>
          <cell r="K1159" t="str">
            <v>₪</v>
          </cell>
          <cell r="L1159">
            <v>100</v>
          </cell>
          <cell r="M1159" t="str">
            <v>יח'</v>
          </cell>
          <cell r="N1159">
            <v>150</v>
          </cell>
        </row>
        <row r="1160">
          <cell r="B1160" t="str">
            <v>MS122160</v>
          </cell>
          <cell r="C1160">
            <v>8059</v>
          </cell>
          <cell r="D1160">
            <v>1</v>
          </cell>
          <cell r="E1160" t="str">
            <v>קשיח</v>
          </cell>
          <cell r="F1160" t="str">
            <v>01.0230</v>
          </cell>
          <cell r="G1160">
            <v>42081</v>
          </cell>
          <cell r="H1160" t="str">
            <v>01.0230</v>
          </cell>
          <cell r="I1160" t="str">
            <v>גין מהנדסים בע"מ</v>
          </cell>
          <cell r="J1160">
            <v>0</v>
          </cell>
          <cell r="K1160" t="str">
            <v>₪</v>
          </cell>
          <cell r="M1160" t="str">
            <v>יח'</v>
          </cell>
        </row>
        <row r="1161">
          <cell r="B1161" t="str">
            <v>MS 51830-104L/KNCAL0832J  נעילה 8-32</v>
          </cell>
          <cell r="C1161">
            <v>26091</v>
          </cell>
          <cell r="D1161">
            <v>1</v>
          </cell>
          <cell r="E1161" t="str">
            <v>קשיח</v>
          </cell>
          <cell r="F1161" t="str">
            <v>01.0231</v>
          </cell>
          <cell r="G1161">
            <v>43956</v>
          </cell>
          <cell r="H1161" t="str">
            <v>01.0231</v>
          </cell>
          <cell r="I1161" t="str">
            <v>גין מהנדסים בע"מ</v>
          </cell>
          <cell r="J1161">
            <v>5.93</v>
          </cell>
          <cell r="K1161" t="str">
            <v>₪</v>
          </cell>
          <cell r="L1161">
            <v>500</v>
          </cell>
          <cell r="M1161" t="str">
            <v>יח'</v>
          </cell>
          <cell r="N1161">
            <v>2965</v>
          </cell>
        </row>
        <row r="1162">
          <cell r="B1162" t="str">
            <v>Keensert MS 51830-104L, KNCAL0832J  נעילה 8-32</v>
          </cell>
          <cell r="C1162">
            <v>24539</v>
          </cell>
          <cell r="D1162">
            <v>1</v>
          </cell>
          <cell r="E1162" t="str">
            <v>קשיח</v>
          </cell>
          <cell r="F1162" t="str">
            <v>01.0231</v>
          </cell>
          <cell r="G1162">
            <v>43696</v>
          </cell>
          <cell r="H1162" t="str">
            <v>01.0231</v>
          </cell>
          <cell r="I1162" t="str">
            <v>גין מהנדסים בע"מ</v>
          </cell>
          <cell r="J1162">
            <v>4.2</v>
          </cell>
          <cell r="K1162" t="str">
            <v>₪</v>
          </cell>
          <cell r="L1162">
            <v>150</v>
          </cell>
          <cell r="M1162" t="str">
            <v>יח'</v>
          </cell>
          <cell r="N1162">
            <v>630</v>
          </cell>
        </row>
        <row r="1163">
          <cell r="B1163" t="str">
            <v>MS 51830-104L/KNCAL0832J  נעילה 8-32</v>
          </cell>
          <cell r="C1163">
            <v>23051</v>
          </cell>
          <cell r="D1163">
            <v>1</v>
          </cell>
          <cell r="E1163" t="str">
            <v>קשיח</v>
          </cell>
          <cell r="F1163" t="str">
            <v>01.0231</v>
          </cell>
          <cell r="G1163">
            <v>43523</v>
          </cell>
          <cell r="H1163" t="str">
            <v>01.0231</v>
          </cell>
          <cell r="I1163" t="str">
            <v>גין מהנדסים בע"מ</v>
          </cell>
          <cell r="J1163">
            <v>5.95</v>
          </cell>
          <cell r="K1163" t="str">
            <v>₪</v>
          </cell>
          <cell r="L1163">
            <v>500</v>
          </cell>
          <cell r="M1163" t="str">
            <v>יח'</v>
          </cell>
          <cell r="N1163">
            <v>2975</v>
          </cell>
        </row>
        <row r="1164">
          <cell r="B1164" t="str">
            <v>תעודת כיול</v>
          </cell>
          <cell r="C1164">
            <v>38740</v>
          </cell>
          <cell r="D1164">
            <v>2</v>
          </cell>
          <cell r="E1164" t="str">
            <v>קשיח</v>
          </cell>
          <cell r="F1164" t="str">
            <v>01.0233</v>
          </cell>
          <cell r="G1164">
            <v>45603</v>
          </cell>
          <cell r="H1164" t="str">
            <v>01.0233</v>
          </cell>
          <cell r="I1164" t="str">
            <v>אלקון - ממב מכשירי בקרה</v>
          </cell>
          <cell r="J1164">
            <v>165</v>
          </cell>
          <cell r="K1164" t="str">
            <v>₪</v>
          </cell>
          <cell r="L1164">
            <v>2</v>
          </cell>
          <cell r="M1164" t="str">
            <v>יח'</v>
          </cell>
          <cell r="N1164">
            <v>330</v>
          </cell>
        </row>
        <row r="1165">
          <cell r="B1165" t="str">
            <v>תעודת כיול</v>
          </cell>
          <cell r="C1165">
            <v>31679</v>
          </cell>
          <cell r="D1165">
            <v>2</v>
          </cell>
          <cell r="E1165" t="str">
            <v>קשיח</v>
          </cell>
          <cell r="F1165" t="str">
            <v>01.0233</v>
          </cell>
          <cell r="G1165">
            <v>44713</v>
          </cell>
          <cell r="H1165" t="str">
            <v>01.0233</v>
          </cell>
          <cell r="I1165" t="str">
            <v>אלקון - ממב מכשירי בקרה</v>
          </cell>
          <cell r="J1165">
            <v>165</v>
          </cell>
          <cell r="K1165" t="str">
            <v>₪</v>
          </cell>
          <cell r="L1165">
            <v>1</v>
          </cell>
          <cell r="M1165" t="str">
            <v>יח'</v>
          </cell>
          <cell r="N1165">
            <v>165</v>
          </cell>
        </row>
        <row r="1166">
          <cell r="B1166" t="str">
            <v/>
          </cell>
          <cell r="C1166">
            <v>8410</v>
          </cell>
          <cell r="D1166">
            <v>1</v>
          </cell>
          <cell r="E1166" t="str">
            <v>קשיח</v>
          </cell>
          <cell r="F1166" t="str">
            <v>01.0234</v>
          </cell>
          <cell r="G1166">
            <v>42120</v>
          </cell>
          <cell r="H1166" t="str">
            <v>01.0234</v>
          </cell>
          <cell r="I1166" t="str">
            <v>גין מהנדסים בע"מ</v>
          </cell>
          <cell r="J1166">
            <v>0</v>
          </cell>
          <cell r="K1166" t="str">
            <v>₪</v>
          </cell>
          <cell r="M1166" t="str">
            <v>יח'</v>
          </cell>
        </row>
        <row r="1167">
          <cell r="B1167" t="str">
            <v>LOCKTITE 601 50CC</v>
          </cell>
          <cell r="C1167">
            <v>41703</v>
          </cell>
          <cell r="D1167">
            <v>1</v>
          </cell>
          <cell r="E1167" t="str">
            <v>קשיח</v>
          </cell>
          <cell r="F1167" t="str">
            <v>01.0238</v>
          </cell>
          <cell r="G1167">
            <v>45874</v>
          </cell>
          <cell r="H1167" t="str">
            <v>01.0238</v>
          </cell>
          <cell r="I1167" t="str">
            <v>מאור גבריאלי הספקה ט</v>
          </cell>
          <cell r="J1167">
            <v>220</v>
          </cell>
          <cell r="K1167" t="str">
            <v>₪</v>
          </cell>
          <cell r="L1167">
            <v>1</v>
          </cell>
          <cell r="M1167" t="str">
            <v>יח'</v>
          </cell>
          <cell r="N1167">
            <v>220</v>
          </cell>
        </row>
        <row r="1168">
          <cell r="B1168" t="str">
            <v>LOCKTITE 601 50CC</v>
          </cell>
          <cell r="C1168">
            <v>39869</v>
          </cell>
          <cell r="D1168">
            <v>1</v>
          </cell>
          <cell r="E1168" t="str">
            <v>קשיח</v>
          </cell>
          <cell r="F1168" t="str">
            <v>01.0238</v>
          </cell>
          <cell r="G1168">
            <v>45706</v>
          </cell>
          <cell r="H1168" t="str">
            <v>01.0238</v>
          </cell>
          <cell r="I1168" t="str">
            <v>מאור גבריאלי הספקה ט</v>
          </cell>
          <cell r="J1168">
            <v>220</v>
          </cell>
          <cell r="K1168" t="str">
            <v>₪</v>
          </cell>
          <cell r="L1168">
            <v>1</v>
          </cell>
          <cell r="M1168" t="str">
            <v>יח'</v>
          </cell>
          <cell r="N1168">
            <v>220</v>
          </cell>
        </row>
        <row r="1169">
          <cell r="B1169" t="str">
            <v>LOCKTITE 601 50CC</v>
          </cell>
          <cell r="C1169">
            <v>38778</v>
          </cell>
          <cell r="D1169">
            <v>1</v>
          </cell>
          <cell r="E1169" t="str">
            <v>קשיח</v>
          </cell>
          <cell r="F1169" t="str">
            <v>01.0238</v>
          </cell>
          <cell r="G1169">
            <v>45608</v>
          </cell>
          <cell r="H1169" t="str">
            <v>01.0238</v>
          </cell>
          <cell r="I1169" t="str">
            <v>מאור גבריאלי הספקה ט</v>
          </cell>
          <cell r="J1169">
            <v>260</v>
          </cell>
          <cell r="K1169" t="str">
            <v>₪</v>
          </cell>
          <cell r="L1169">
            <v>1</v>
          </cell>
          <cell r="M1169" t="str">
            <v>יח'</v>
          </cell>
          <cell r="N1169">
            <v>260</v>
          </cell>
        </row>
        <row r="1170">
          <cell r="B1170" t="str">
            <v>LOCKTITE 601 50CC</v>
          </cell>
          <cell r="C1170">
            <v>30171</v>
          </cell>
          <cell r="D1170">
            <v>1</v>
          </cell>
          <cell r="E1170" t="str">
            <v>קשיח</v>
          </cell>
          <cell r="F1170" t="str">
            <v>01.0238</v>
          </cell>
          <cell r="G1170">
            <v>44511</v>
          </cell>
          <cell r="H1170" t="str">
            <v>01.0238</v>
          </cell>
          <cell r="I1170" t="str">
            <v>מאור גבריאלי הספקה ט</v>
          </cell>
          <cell r="J1170">
            <v>280</v>
          </cell>
          <cell r="K1170" t="str">
            <v>₪</v>
          </cell>
          <cell r="L1170">
            <v>1</v>
          </cell>
          <cell r="M1170" t="str">
            <v>יח'</v>
          </cell>
          <cell r="N1170">
            <v>280</v>
          </cell>
        </row>
        <row r="1171">
          <cell r="B1171" t="str">
            <v>LOCKTITE 601 50CC</v>
          </cell>
          <cell r="C1171">
            <v>26651</v>
          </cell>
          <cell r="D1171">
            <v>1</v>
          </cell>
          <cell r="E1171" t="str">
            <v>קשיח</v>
          </cell>
          <cell r="F1171" t="str">
            <v>01.0238</v>
          </cell>
          <cell r="G1171">
            <v>44026</v>
          </cell>
          <cell r="H1171" t="str">
            <v>01.0238</v>
          </cell>
          <cell r="I1171" t="str">
            <v>אלמוג ציוד טכני בע"מ</v>
          </cell>
          <cell r="J1171">
            <v>0</v>
          </cell>
          <cell r="K1171" t="str">
            <v>₪</v>
          </cell>
          <cell r="M1171" t="str">
            <v>יח'</v>
          </cell>
        </row>
        <row r="1172">
          <cell r="B1172" t="str">
            <v>LOCKTITE 601 50CC</v>
          </cell>
          <cell r="C1172">
            <v>26578</v>
          </cell>
          <cell r="D1172">
            <v>1</v>
          </cell>
          <cell r="E1172" t="str">
            <v>קשיח</v>
          </cell>
          <cell r="F1172" t="str">
            <v>01.0238</v>
          </cell>
          <cell r="G1172">
            <v>44018</v>
          </cell>
          <cell r="H1172" t="str">
            <v>01.0238</v>
          </cell>
          <cell r="I1172" t="str">
            <v>אלמוג ציוד טכני בע"מ</v>
          </cell>
          <cell r="J1172">
            <v>0</v>
          </cell>
          <cell r="K1172" t="str">
            <v>₪</v>
          </cell>
          <cell r="M1172" t="str">
            <v>יח'</v>
          </cell>
        </row>
        <row r="1173">
          <cell r="B1173" t="str">
            <v>LOCKTITE 601 50CC</v>
          </cell>
          <cell r="C1173">
            <v>26471</v>
          </cell>
          <cell r="D1173">
            <v>1</v>
          </cell>
          <cell r="E1173" t="str">
            <v>קשיח</v>
          </cell>
          <cell r="F1173" t="str">
            <v>01.0238</v>
          </cell>
          <cell r="G1173">
            <v>44006</v>
          </cell>
          <cell r="H1173" t="str">
            <v>01.0238</v>
          </cell>
          <cell r="I1173" t="str">
            <v>אלמוג ציוד טכני בע"מ</v>
          </cell>
          <cell r="J1173">
            <v>0</v>
          </cell>
          <cell r="K1173" t="str">
            <v>₪</v>
          </cell>
          <cell r="M1173" t="str">
            <v>יח'</v>
          </cell>
        </row>
        <row r="1174">
          <cell r="B1174" t="str">
            <v>LOCKTITE 601 50CC</v>
          </cell>
          <cell r="C1174">
            <v>21642</v>
          </cell>
          <cell r="D1174">
            <v>1</v>
          </cell>
          <cell r="E1174" t="str">
            <v>קשיח</v>
          </cell>
          <cell r="F1174" t="str">
            <v>01.0238</v>
          </cell>
          <cell r="G1174">
            <v>43333</v>
          </cell>
          <cell r="H1174" t="str">
            <v>01.0238</v>
          </cell>
          <cell r="I1174" t="str">
            <v>אלמוג ציוד טכני בע"מ</v>
          </cell>
          <cell r="J1174">
            <v>0</v>
          </cell>
          <cell r="K1174" t="str">
            <v>₪</v>
          </cell>
          <cell r="M1174" t="str">
            <v>יח'</v>
          </cell>
        </row>
        <row r="1175">
          <cell r="B1175" t="str">
            <v>LOCKTITE 601 50CC</v>
          </cell>
          <cell r="C1175">
            <v>20629</v>
          </cell>
          <cell r="D1175">
            <v>1</v>
          </cell>
          <cell r="E1175" t="str">
            <v>קשיח</v>
          </cell>
          <cell r="F1175" t="str">
            <v>01.0238</v>
          </cell>
          <cell r="G1175">
            <v>43213</v>
          </cell>
          <cell r="H1175" t="str">
            <v>01.0238</v>
          </cell>
          <cell r="I1175" t="str">
            <v>אלמוג ציוד טכני בע"מ</v>
          </cell>
          <cell r="J1175">
            <v>0</v>
          </cell>
          <cell r="K1175" t="str">
            <v>₪</v>
          </cell>
          <cell r="M1175" t="str">
            <v>יח'</v>
          </cell>
        </row>
        <row r="1176">
          <cell r="B1176" t="str">
            <v>LOCKTITE 601 50CC</v>
          </cell>
          <cell r="C1176">
            <v>20355</v>
          </cell>
          <cell r="D1176">
            <v>1</v>
          </cell>
          <cell r="E1176" t="str">
            <v>קשיח</v>
          </cell>
          <cell r="F1176" t="str">
            <v>01.0238</v>
          </cell>
          <cell r="G1176">
            <v>43174</v>
          </cell>
          <cell r="H1176" t="str">
            <v>01.0238</v>
          </cell>
          <cell r="I1176" t="str">
            <v>אלמוג ציוד טכני בע"מ</v>
          </cell>
          <cell r="J1176">
            <v>0</v>
          </cell>
          <cell r="K1176" t="str">
            <v>₪</v>
          </cell>
          <cell r="M1176" t="str">
            <v>יח'</v>
          </cell>
        </row>
        <row r="1177">
          <cell r="B1177" t="str">
            <v>LOCKTITE 601 50CC</v>
          </cell>
          <cell r="C1177">
            <v>15656</v>
          </cell>
          <cell r="D1177">
            <v>1</v>
          </cell>
          <cell r="E1177" t="str">
            <v>קשיח</v>
          </cell>
          <cell r="F1177" t="str">
            <v>01.0238</v>
          </cell>
          <cell r="G1177">
            <v>42885</v>
          </cell>
          <cell r="H1177" t="str">
            <v>01.0238</v>
          </cell>
          <cell r="I1177" t="str">
            <v>אלמוג</v>
          </cell>
          <cell r="J1177">
            <v>0</v>
          </cell>
          <cell r="K1177" t="str">
            <v>₪</v>
          </cell>
          <cell r="M1177" t="str">
            <v>יח'</v>
          </cell>
        </row>
        <row r="1178">
          <cell r="B1178" t="str">
            <v>מנדרל למכונת החדרה 1/4-28</v>
          </cell>
          <cell r="C1178">
            <v>38324</v>
          </cell>
          <cell r="D1178">
            <v>6</v>
          </cell>
          <cell r="E1178" t="str">
            <v>קשיח</v>
          </cell>
          <cell r="F1178" t="str">
            <v>01.0242</v>
          </cell>
          <cell r="G1178">
            <v>45550</v>
          </cell>
          <cell r="H1178" t="str">
            <v>01.0242</v>
          </cell>
          <cell r="I1178" t="str">
            <v>לוונשטיין טכנולוגיות בע"מ</v>
          </cell>
          <cell r="J1178">
            <v>375</v>
          </cell>
          <cell r="K1178" t="str">
            <v>₪</v>
          </cell>
          <cell r="L1178">
            <v>2</v>
          </cell>
          <cell r="M1178" t="str">
            <v>יח'</v>
          </cell>
          <cell r="N1178">
            <v>750</v>
          </cell>
        </row>
        <row r="1179">
          <cell r="B1179" t="str">
            <v>Washer Spring MS35338-48</v>
          </cell>
          <cell r="C1179">
            <v>1311</v>
          </cell>
          <cell r="D1179">
            <v>2</v>
          </cell>
          <cell r="E1179" t="str">
            <v>קשיח</v>
          </cell>
          <cell r="F1179" t="str">
            <v>01.0245</v>
          </cell>
          <cell r="G1179">
            <v>41239</v>
          </cell>
          <cell r="H1179" t="str">
            <v>01.0245</v>
          </cell>
          <cell r="I1179" t="str">
            <v>גין מהנדסים בע"מ</v>
          </cell>
          <cell r="J1179">
            <v>0.4</v>
          </cell>
          <cell r="K1179" t="str">
            <v>₪</v>
          </cell>
          <cell r="L1179">
            <v>300</v>
          </cell>
          <cell r="M1179" t="str">
            <v>יח'</v>
          </cell>
          <cell r="N1179">
            <v>120</v>
          </cell>
        </row>
        <row r="1180">
          <cell r="B1180" t="str">
            <v>Washer Spring MS35338-48</v>
          </cell>
          <cell r="C1180">
            <v>1182</v>
          </cell>
          <cell r="D1180">
            <v>3</v>
          </cell>
          <cell r="E1180" t="str">
            <v>קשיח</v>
          </cell>
          <cell r="F1180" t="str">
            <v>01.0245</v>
          </cell>
          <cell r="G1180">
            <v>41224</v>
          </cell>
          <cell r="H1180" t="str">
            <v>01.0245</v>
          </cell>
          <cell r="I1180" t="str">
            <v>KAYTECH INDUSTRIES CORP</v>
          </cell>
          <cell r="J1180">
            <v>0.1</v>
          </cell>
          <cell r="K1180" t="str">
            <v>$</v>
          </cell>
          <cell r="L1180">
            <v>300</v>
          </cell>
          <cell r="M1180" t="str">
            <v>יח'</v>
          </cell>
          <cell r="N1180">
            <v>92.16</v>
          </cell>
        </row>
        <row r="1181">
          <cell r="B1181" t="str">
            <v>Washer Spring MS35338-48</v>
          </cell>
          <cell r="C1181">
            <v>596</v>
          </cell>
          <cell r="D1181">
            <v>3</v>
          </cell>
          <cell r="E1181" t="str">
            <v>קשיח</v>
          </cell>
          <cell r="F1181" t="str">
            <v>01.0245</v>
          </cell>
          <cell r="G1181">
            <v>41141</v>
          </cell>
          <cell r="H1181" t="str">
            <v>01.0245</v>
          </cell>
          <cell r="I1181" t="str">
            <v>קייטק ישראל בע"מ</v>
          </cell>
          <cell r="J1181">
            <v>0.1</v>
          </cell>
          <cell r="K1181" t="str">
            <v>$</v>
          </cell>
          <cell r="L1181">
            <v>400</v>
          </cell>
          <cell r="M1181" t="str">
            <v>יח'</v>
          </cell>
          <cell r="N1181">
            <v>122.88</v>
          </cell>
        </row>
        <row r="1182">
          <cell r="B1182" t="str">
            <v>Washer Spring MS35338-48</v>
          </cell>
          <cell r="C1182">
            <v>565</v>
          </cell>
          <cell r="D1182">
            <v>4</v>
          </cell>
          <cell r="E1182" t="str">
            <v>קשיח</v>
          </cell>
          <cell r="F1182" t="str">
            <v>01.0245</v>
          </cell>
          <cell r="G1182">
            <v>41137</v>
          </cell>
          <cell r="H1182" t="str">
            <v>01.0245</v>
          </cell>
          <cell r="I1182" t="str">
            <v>קייטק ישראל בע"מ</v>
          </cell>
          <cell r="J1182">
            <v>0.1</v>
          </cell>
          <cell r="K1182" t="str">
            <v>$</v>
          </cell>
          <cell r="L1182">
            <v>400</v>
          </cell>
          <cell r="M1182" t="str">
            <v>יח'</v>
          </cell>
          <cell r="N1182">
            <v>122.88</v>
          </cell>
        </row>
        <row r="1183">
          <cell r="B1183" t="str">
            <v>Washer Spring MS35338-48</v>
          </cell>
          <cell r="C1183">
            <v>398</v>
          </cell>
          <cell r="D1183">
            <v>3</v>
          </cell>
          <cell r="E1183" t="str">
            <v>קשיח</v>
          </cell>
          <cell r="F1183" t="str">
            <v>01.0245</v>
          </cell>
          <cell r="G1183">
            <v>41122</v>
          </cell>
          <cell r="H1183" t="str">
            <v>01.0245</v>
          </cell>
          <cell r="I1183" t="str">
            <v>KAYTECH INDUSTRIES CORP</v>
          </cell>
          <cell r="J1183">
            <v>0.1</v>
          </cell>
          <cell r="K1183" t="str">
            <v>$</v>
          </cell>
          <cell r="L1183">
            <v>320</v>
          </cell>
          <cell r="M1183" t="str">
            <v>יח'</v>
          </cell>
          <cell r="N1183">
            <v>98.304000000000002</v>
          </cell>
        </row>
        <row r="1184">
          <cell r="B1184" t="str">
            <v>Washer Flat NAS MS 620-10</v>
          </cell>
          <cell r="C1184">
            <v>398</v>
          </cell>
          <cell r="D1184">
            <v>4</v>
          </cell>
          <cell r="E1184" t="str">
            <v>קשיח</v>
          </cell>
          <cell r="F1184" t="str">
            <v>01.0246</v>
          </cell>
          <cell r="G1184">
            <v>41122</v>
          </cell>
          <cell r="H1184" t="str">
            <v>01.0246</v>
          </cell>
          <cell r="I1184" t="str">
            <v>KAYTECH INDUSTRIES CORP</v>
          </cell>
          <cell r="J1184">
            <v>0.02</v>
          </cell>
          <cell r="K1184" t="str">
            <v>$</v>
          </cell>
          <cell r="L1184">
            <v>800</v>
          </cell>
          <cell r="M1184" t="str">
            <v>יח'</v>
          </cell>
          <cell r="N1184">
            <v>49.152000000000001</v>
          </cell>
        </row>
        <row r="1185">
          <cell r="B1185" t="str">
            <v>Screw Nas 1351-8-20P</v>
          </cell>
          <cell r="C1185">
            <v>1413</v>
          </cell>
          <cell r="D1185">
            <v>1</v>
          </cell>
          <cell r="E1185" t="str">
            <v>קשיח</v>
          </cell>
          <cell r="F1185" t="str">
            <v>01.0247</v>
          </cell>
          <cell r="G1185">
            <v>41252</v>
          </cell>
          <cell r="H1185" t="str">
            <v>01.0247</v>
          </cell>
          <cell r="I1185" t="str">
            <v>מלאי מקומי בע"מ</v>
          </cell>
          <cell r="J1185">
            <v>9.2899999999999991</v>
          </cell>
          <cell r="K1185" t="str">
            <v>$</v>
          </cell>
          <cell r="L1185">
            <v>200</v>
          </cell>
          <cell r="M1185" t="str">
            <v>יח'</v>
          </cell>
          <cell r="N1185">
            <v>5707.7759999999998</v>
          </cell>
        </row>
        <row r="1186">
          <cell r="B1186" t="str">
            <v>Screw Nas 1351-8-20P</v>
          </cell>
          <cell r="C1186">
            <v>1403</v>
          </cell>
          <cell r="D1186">
            <v>1</v>
          </cell>
          <cell r="E1186" t="str">
            <v>קשיח</v>
          </cell>
          <cell r="F1186" t="str">
            <v>01.0247</v>
          </cell>
          <cell r="G1186">
            <v>41249</v>
          </cell>
          <cell r="H1186" t="str">
            <v>01.0247</v>
          </cell>
          <cell r="I1186" t="str">
            <v>מלאי מקומי בע"מ</v>
          </cell>
          <cell r="J1186">
            <v>5.85</v>
          </cell>
          <cell r="K1186" t="str">
            <v>$</v>
          </cell>
          <cell r="L1186">
            <v>200</v>
          </cell>
          <cell r="M1186" t="str">
            <v>יח'</v>
          </cell>
          <cell r="N1186">
            <v>3594.2400000000002</v>
          </cell>
        </row>
        <row r="1187">
          <cell r="B1187" t="str">
            <v>Screw Nas 1351-8-20P</v>
          </cell>
          <cell r="C1187">
            <v>1182</v>
          </cell>
          <cell r="D1187">
            <v>1</v>
          </cell>
          <cell r="E1187" t="str">
            <v>קשיח</v>
          </cell>
          <cell r="F1187" t="str">
            <v>01.0247</v>
          </cell>
          <cell r="G1187">
            <v>41224</v>
          </cell>
          <cell r="H1187" t="str">
            <v>01.0247</v>
          </cell>
          <cell r="I1187" t="str">
            <v>KAYTECH INDUSTRIES CORP</v>
          </cell>
          <cell r="J1187">
            <v>5</v>
          </cell>
          <cell r="K1187" t="str">
            <v>$</v>
          </cell>
          <cell r="L1187">
            <v>300</v>
          </cell>
          <cell r="M1187" t="str">
            <v>יח'</v>
          </cell>
          <cell r="N1187">
            <v>4608</v>
          </cell>
        </row>
        <row r="1188">
          <cell r="B1188" t="str">
            <v>Screw Nas 1351-8-20P</v>
          </cell>
          <cell r="C1188">
            <v>596</v>
          </cell>
          <cell r="D1188">
            <v>1</v>
          </cell>
          <cell r="E1188" t="str">
            <v>קשיח</v>
          </cell>
          <cell r="F1188" t="str">
            <v>01.0247</v>
          </cell>
          <cell r="G1188">
            <v>41141</v>
          </cell>
          <cell r="H1188" t="str">
            <v>01.0247</v>
          </cell>
          <cell r="I1188" t="str">
            <v>קייטק ישראל בע"מ</v>
          </cell>
          <cell r="J1188">
            <v>5</v>
          </cell>
          <cell r="K1188" t="str">
            <v>$</v>
          </cell>
          <cell r="L1188">
            <v>300</v>
          </cell>
          <cell r="M1188" t="str">
            <v>יח'</v>
          </cell>
          <cell r="N1188">
            <v>4608</v>
          </cell>
        </row>
        <row r="1189">
          <cell r="B1189" t="str">
            <v>Screw Nas 1351-8-20P</v>
          </cell>
          <cell r="C1189">
            <v>565</v>
          </cell>
          <cell r="D1189">
            <v>2</v>
          </cell>
          <cell r="E1189" t="str">
            <v>קשיח</v>
          </cell>
          <cell r="F1189" t="str">
            <v>01.0247</v>
          </cell>
          <cell r="G1189">
            <v>41137</v>
          </cell>
          <cell r="H1189" t="str">
            <v>01.0247</v>
          </cell>
          <cell r="I1189" t="str">
            <v>קייטק ישראל בע"מ</v>
          </cell>
          <cell r="J1189">
            <v>4.1500000000000004</v>
          </cell>
          <cell r="K1189" t="str">
            <v>$</v>
          </cell>
          <cell r="L1189">
            <v>360</v>
          </cell>
          <cell r="M1189" t="str">
            <v>יח'</v>
          </cell>
          <cell r="N1189">
            <v>4589.5680000000011</v>
          </cell>
        </row>
        <row r="1190">
          <cell r="B1190" t="str">
            <v>Screw Nas 1351-8-20P</v>
          </cell>
          <cell r="C1190">
            <v>398</v>
          </cell>
          <cell r="D1190">
            <v>1</v>
          </cell>
          <cell r="E1190" t="str">
            <v>קשיח</v>
          </cell>
          <cell r="F1190" t="str">
            <v>01.0247</v>
          </cell>
          <cell r="G1190">
            <v>41122</v>
          </cell>
          <cell r="H1190" t="str">
            <v>01.0247</v>
          </cell>
          <cell r="I1190" t="str">
            <v>KAYTECH INDUSTRIES CORP</v>
          </cell>
          <cell r="J1190">
            <v>4.1500000000000004</v>
          </cell>
          <cell r="K1190" t="str">
            <v>$</v>
          </cell>
          <cell r="L1190">
            <v>350</v>
          </cell>
          <cell r="M1190" t="str">
            <v>יח'</v>
          </cell>
          <cell r="N1190">
            <v>4462.0800000000008</v>
          </cell>
        </row>
        <row r="1191">
          <cell r="B1191" t="str">
            <v>Washer Spring MS 35338-43</v>
          </cell>
          <cell r="C1191">
            <v>1311</v>
          </cell>
          <cell r="D1191">
            <v>1</v>
          </cell>
          <cell r="E1191" t="str">
            <v>קשיח</v>
          </cell>
          <cell r="F1191" t="str">
            <v>01.0248</v>
          </cell>
          <cell r="G1191">
            <v>41239</v>
          </cell>
          <cell r="H1191" t="str">
            <v>01.0248</v>
          </cell>
          <cell r="I1191" t="str">
            <v>גין מהנדסים בע"מ</v>
          </cell>
          <cell r="J1191">
            <v>0.15</v>
          </cell>
          <cell r="K1191" t="str">
            <v>₪</v>
          </cell>
          <cell r="L1191">
            <v>300</v>
          </cell>
          <cell r="M1191" t="str">
            <v>יח'</v>
          </cell>
          <cell r="N1191">
            <v>45</v>
          </cell>
        </row>
        <row r="1192">
          <cell r="B1192" t="str">
            <v>Washer Spring MS 35338-43</v>
          </cell>
          <cell r="C1192">
            <v>1182</v>
          </cell>
          <cell r="D1192">
            <v>2</v>
          </cell>
          <cell r="E1192" t="str">
            <v>קשיח</v>
          </cell>
          <cell r="F1192" t="str">
            <v>01.0248</v>
          </cell>
          <cell r="G1192">
            <v>41224</v>
          </cell>
          <cell r="H1192" t="str">
            <v>01.0248</v>
          </cell>
          <cell r="I1192" t="str">
            <v>KAYTECH INDUSTRIES CORP</v>
          </cell>
          <cell r="J1192">
            <v>0.05</v>
          </cell>
          <cell r="K1192" t="str">
            <v>$</v>
          </cell>
          <cell r="L1192">
            <v>300</v>
          </cell>
          <cell r="M1192" t="str">
            <v>יח'</v>
          </cell>
          <cell r="N1192">
            <v>46.08</v>
          </cell>
        </row>
        <row r="1193">
          <cell r="B1193" t="str">
            <v>Washer Spring MS 35338-43</v>
          </cell>
          <cell r="C1193">
            <v>596</v>
          </cell>
          <cell r="D1193">
            <v>2</v>
          </cell>
          <cell r="E1193" t="str">
            <v>קשיח</v>
          </cell>
          <cell r="F1193" t="str">
            <v>01.0248</v>
          </cell>
          <cell r="G1193">
            <v>41141</v>
          </cell>
          <cell r="H1193" t="str">
            <v>01.0248</v>
          </cell>
          <cell r="I1193" t="str">
            <v>קייטק ישראל בע"מ</v>
          </cell>
          <cell r="J1193">
            <v>0.05</v>
          </cell>
          <cell r="K1193" t="str">
            <v>$</v>
          </cell>
          <cell r="L1193">
            <v>300</v>
          </cell>
          <cell r="M1193" t="str">
            <v>יח'</v>
          </cell>
          <cell r="N1193">
            <v>46.08</v>
          </cell>
        </row>
        <row r="1194">
          <cell r="B1194" t="str">
            <v>Washer Spring MS 35338-43</v>
          </cell>
          <cell r="C1194">
            <v>565</v>
          </cell>
          <cell r="D1194">
            <v>3</v>
          </cell>
          <cell r="E1194" t="str">
            <v>קשיח</v>
          </cell>
          <cell r="F1194" t="str">
            <v>01.0248</v>
          </cell>
          <cell r="G1194">
            <v>41137</v>
          </cell>
          <cell r="H1194" t="str">
            <v>01.0248</v>
          </cell>
          <cell r="I1194" t="str">
            <v>קייטק ישראל בע"מ</v>
          </cell>
          <cell r="J1194">
            <v>0.05</v>
          </cell>
          <cell r="K1194" t="str">
            <v>$</v>
          </cell>
          <cell r="L1194">
            <v>250</v>
          </cell>
          <cell r="M1194" t="str">
            <v>יח'</v>
          </cell>
          <cell r="N1194">
            <v>38.4</v>
          </cell>
        </row>
        <row r="1195">
          <cell r="B1195" t="str">
            <v>Washer Spring MS 35338-43</v>
          </cell>
          <cell r="C1195">
            <v>398</v>
          </cell>
          <cell r="D1195">
            <v>2</v>
          </cell>
          <cell r="E1195" t="str">
            <v>קשיח</v>
          </cell>
          <cell r="F1195" t="str">
            <v>01.0248</v>
          </cell>
          <cell r="G1195">
            <v>41122</v>
          </cell>
          <cell r="H1195" t="str">
            <v>01.0248</v>
          </cell>
          <cell r="I1195" t="str">
            <v>KAYTECH INDUSTRIES CORP</v>
          </cell>
          <cell r="J1195">
            <v>0.05</v>
          </cell>
          <cell r="K1195" t="str">
            <v>$</v>
          </cell>
          <cell r="L1195">
            <v>550</v>
          </cell>
          <cell r="M1195" t="str">
            <v>יח'</v>
          </cell>
          <cell r="N1195">
            <v>84.48</v>
          </cell>
        </row>
        <row r="1196">
          <cell r="B1196" t="str">
            <v>MS51830-103L  /KNCL0632J /ALCOA</v>
          </cell>
          <cell r="C1196">
            <v>38157</v>
          </cell>
          <cell r="D1196">
            <v>2</v>
          </cell>
          <cell r="E1196" t="str">
            <v>קשיח</v>
          </cell>
          <cell r="F1196" t="str">
            <v>01.0250</v>
          </cell>
          <cell r="G1196">
            <v>45531</v>
          </cell>
          <cell r="H1196" t="str">
            <v>01.0250</v>
          </cell>
          <cell r="I1196" t="str">
            <v>גין מהנדסים בע"מ</v>
          </cell>
          <cell r="J1196">
            <v>8.8000000000000007</v>
          </cell>
          <cell r="K1196" t="str">
            <v>₪</v>
          </cell>
          <cell r="L1196">
            <v>125</v>
          </cell>
          <cell r="M1196" t="str">
            <v>יח'</v>
          </cell>
          <cell r="N1196">
            <v>1100</v>
          </cell>
        </row>
        <row r="1197">
          <cell r="B1197" t="str">
            <v>MS51830-103L  /KNCL0632J /ALCOA</v>
          </cell>
          <cell r="C1197">
            <v>35505</v>
          </cell>
          <cell r="D1197">
            <v>2</v>
          </cell>
          <cell r="E1197" t="str">
            <v>קשיח</v>
          </cell>
          <cell r="F1197" t="str">
            <v>01.0250</v>
          </cell>
          <cell r="G1197">
            <v>45238</v>
          </cell>
          <cell r="H1197" t="str">
            <v>01.0250</v>
          </cell>
          <cell r="I1197" t="str">
            <v>לוונשטיין טכנולוגיות בע"מ</v>
          </cell>
          <cell r="J1197">
            <v>6.9</v>
          </cell>
          <cell r="K1197" t="str">
            <v>₪</v>
          </cell>
          <cell r="L1197">
            <v>200</v>
          </cell>
          <cell r="M1197" t="str">
            <v>יח'</v>
          </cell>
          <cell r="N1197">
            <v>1380</v>
          </cell>
        </row>
        <row r="1198">
          <cell r="B1198" t="str">
            <v>MS51830-103L  /KNCL0632J /ALCOA</v>
          </cell>
          <cell r="C1198">
            <v>24211</v>
          </cell>
          <cell r="D1198">
            <v>1</v>
          </cell>
          <cell r="E1198" t="str">
            <v>קשיח</v>
          </cell>
          <cell r="F1198" t="str">
            <v>01.0250</v>
          </cell>
          <cell r="G1198">
            <v>43655</v>
          </cell>
          <cell r="H1198" t="str">
            <v>01.0250</v>
          </cell>
          <cell r="I1198" t="str">
            <v>לוונשטיין טכנולוגיות</v>
          </cell>
          <cell r="J1198">
            <v>7.9</v>
          </cell>
          <cell r="K1198" t="str">
            <v>₪</v>
          </cell>
          <cell r="L1198">
            <v>50</v>
          </cell>
          <cell r="M1198" t="str">
            <v>יח'</v>
          </cell>
          <cell r="N1198">
            <v>395</v>
          </cell>
        </row>
        <row r="1199">
          <cell r="B1199" t="str">
            <v>MS51830-103L  /KNCL0632J /ALCOA</v>
          </cell>
          <cell r="C1199">
            <v>24212</v>
          </cell>
          <cell r="D1199">
            <v>1</v>
          </cell>
          <cell r="E1199" t="str">
            <v>קשיח</v>
          </cell>
          <cell r="F1199" t="str">
            <v>01.0250</v>
          </cell>
          <cell r="G1199">
            <v>43655</v>
          </cell>
          <cell r="H1199" t="str">
            <v>01.0250</v>
          </cell>
          <cell r="I1199" t="str">
            <v>גין מהנדסים בע"מ</v>
          </cell>
          <cell r="J1199">
            <v>5</v>
          </cell>
          <cell r="K1199" t="str">
            <v>₪</v>
          </cell>
          <cell r="L1199">
            <v>300</v>
          </cell>
          <cell r="M1199" t="str">
            <v>יח'</v>
          </cell>
          <cell r="N1199">
            <v>1500</v>
          </cell>
        </row>
        <row r="1200">
          <cell r="B1200" t="str">
            <v>MS51830-103L  /KNCL0632J /ALCOA</v>
          </cell>
          <cell r="C1200">
            <v>23083</v>
          </cell>
          <cell r="D1200">
            <v>1</v>
          </cell>
          <cell r="E1200" t="str">
            <v>קשיח</v>
          </cell>
          <cell r="F1200" t="str">
            <v>01.0250</v>
          </cell>
          <cell r="G1200">
            <v>43524</v>
          </cell>
          <cell r="H1200" t="str">
            <v>01.0250</v>
          </cell>
          <cell r="I1200" t="str">
            <v>דר טכנולוגיות בע"מ</v>
          </cell>
          <cell r="J1200">
            <v>6.5</v>
          </cell>
          <cell r="K1200" t="str">
            <v>₪</v>
          </cell>
          <cell r="L1200">
            <v>500</v>
          </cell>
          <cell r="M1200" t="str">
            <v>יח'</v>
          </cell>
          <cell r="N1200">
            <v>3250</v>
          </cell>
        </row>
        <row r="1201">
          <cell r="B1201" t="str">
            <v>MS51830-103L  /KNCL0632J /ALCOA</v>
          </cell>
          <cell r="C1201">
            <v>22924</v>
          </cell>
          <cell r="D1201">
            <v>1</v>
          </cell>
          <cell r="E1201" t="str">
            <v>קשיח</v>
          </cell>
          <cell r="F1201" t="str">
            <v>01.0250</v>
          </cell>
          <cell r="G1201">
            <v>43507</v>
          </cell>
          <cell r="H1201" t="str">
            <v>01.0250</v>
          </cell>
          <cell r="I1201" t="str">
            <v>ברמיל בע"מ</v>
          </cell>
          <cell r="J1201">
            <v>5.6</v>
          </cell>
          <cell r="K1201" t="str">
            <v>₪</v>
          </cell>
          <cell r="L1201">
            <v>300</v>
          </cell>
          <cell r="M1201" t="str">
            <v>יח'</v>
          </cell>
          <cell r="N1201">
            <v>1680</v>
          </cell>
        </row>
        <row r="1202">
          <cell r="B1202" t="str">
            <v>MS21209F1-10L</v>
          </cell>
          <cell r="C1202">
            <v>44627</v>
          </cell>
          <cell r="D1202">
            <v>1</v>
          </cell>
          <cell r="E1202" t="str">
            <v>קשיח</v>
          </cell>
          <cell r="F1202" t="str">
            <v>01.0251</v>
          </cell>
          <cell r="G1202">
            <v>46049</v>
          </cell>
          <cell r="H1202" t="str">
            <v>01.0251</v>
          </cell>
          <cell r="I1202" t="str">
            <v>דר טכנולוגיות בע"מ</v>
          </cell>
          <cell r="J1202">
            <v>1.5</v>
          </cell>
          <cell r="K1202" t="str">
            <v>₪</v>
          </cell>
          <cell r="L1202">
            <v>200</v>
          </cell>
          <cell r="M1202" t="str">
            <v>יח'</v>
          </cell>
          <cell r="N1202">
            <v>300</v>
          </cell>
        </row>
        <row r="1203">
          <cell r="B1203" t="str">
            <v>MS21209F1-10L</v>
          </cell>
          <cell r="C1203">
            <v>44454</v>
          </cell>
          <cell r="D1203">
            <v>4</v>
          </cell>
          <cell r="E1203" t="str">
            <v>קשיח</v>
          </cell>
          <cell r="F1203" t="str">
            <v>01.0251</v>
          </cell>
          <cell r="G1203">
            <v>46037</v>
          </cell>
          <cell r="H1203" t="str">
            <v>01.0251</v>
          </cell>
          <cell r="I1203" t="str">
            <v>לוונשטיין טכנולוגיות בע"מ</v>
          </cell>
          <cell r="J1203">
            <v>2.6</v>
          </cell>
          <cell r="K1203" t="str">
            <v>₪</v>
          </cell>
          <cell r="L1203">
            <v>100</v>
          </cell>
          <cell r="M1203" t="str">
            <v>יח'</v>
          </cell>
          <cell r="N1203">
            <v>260</v>
          </cell>
        </row>
        <row r="1204">
          <cell r="B1204" t="str">
            <v>MS21209F1-10L</v>
          </cell>
          <cell r="C1204">
            <v>34039</v>
          </cell>
          <cell r="D1204">
            <v>1</v>
          </cell>
          <cell r="E1204" t="str">
            <v>קשיח</v>
          </cell>
          <cell r="F1204" t="str">
            <v>01.0251</v>
          </cell>
          <cell r="G1204">
            <v>45070</v>
          </cell>
          <cell r="H1204" t="str">
            <v>01.0251</v>
          </cell>
          <cell r="I1204" t="str">
            <v>לוונשטיין טכנולוגיות בע"מ</v>
          </cell>
          <cell r="J1204">
            <v>2.6</v>
          </cell>
          <cell r="K1204" t="str">
            <v>₪</v>
          </cell>
          <cell r="L1204">
            <v>600</v>
          </cell>
          <cell r="M1204" t="str">
            <v>יח'</v>
          </cell>
          <cell r="N1204">
            <v>1560</v>
          </cell>
        </row>
        <row r="1205">
          <cell r="B1205" t="str">
            <v>MS21209F1-10L</v>
          </cell>
          <cell r="C1205">
            <v>24547</v>
          </cell>
          <cell r="D1205">
            <v>1</v>
          </cell>
          <cell r="E1205" t="str">
            <v>קשיח</v>
          </cell>
          <cell r="F1205" t="str">
            <v>01.0251</v>
          </cell>
          <cell r="G1205">
            <v>43697</v>
          </cell>
          <cell r="H1205" t="str">
            <v>01.0251</v>
          </cell>
          <cell r="I1205" t="str">
            <v>גין מהנדסים בע"מ</v>
          </cell>
          <cell r="J1205">
            <v>1.32</v>
          </cell>
          <cell r="K1205" t="str">
            <v>₪</v>
          </cell>
          <cell r="L1205">
            <v>400</v>
          </cell>
          <cell r="M1205" t="str">
            <v>יח'</v>
          </cell>
          <cell r="N1205">
            <v>528</v>
          </cell>
        </row>
        <row r="1206">
          <cell r="B1206" t="str">
            <v>MS21209F1-10L</v>
          </cell>
          <cell r="C1206">
            <v>24529</v>
          </cell>
          <cell r="D1206">
            <v>1</v>
          </cell>
          <cell r="E1206" t="str">
            <v>קשיח</v>
          </cell>
          <cell r="F1206" t="str">
            <v>01.0251</v>
          </cell>
          <cell r="G1206">
            <v>43696</v>
          </cell>
          <cell r="H1206" t="str">
            <v>01.0251</v>
          </cell>
          <cell r="I1206" t="str">
            <v>לוונשטיין טכנולוגיות</v>
          </cell>
          <cell r="J1206">
            <v>1.1000000000000001</v>
          </cell>
          <cell r="K1206" t="str">
            <v>₪</v>
          </cell>
          <cell r="L1206">
            <v>200</v>
          </cell>
          <cell r="M1206" t="str">
            <v>יח'</v>
          </cell>
          <cell r="N1206">
            <v>220.00000000000003</v>
          </cell>
        </row>
        <row r="1207">
          <cell r="B1207" t="str">
            <v>CL-3816-KS</v>
          </cell>
          <cell r="C1207">
            <v>37033</v>
          </cell>
          <cell r="D1207">
            <v>2</v>
          </cell>
          <cell r="E1207" t="str">
            <v>קשיח</v>
          </cell>
          <cell r="F1207" t="str">
            <v>01.0253</v>
          </cell>
          <cell r="G1207">
            <v>45412</v>
          </cell>
          <cell r="H1207" t="str">
            <v>01.0253</v>
          </cell>
          <cell r="I1207" t="str">
            <v>גין מהנדסים בע"מ</v>
          </cell>
          <cell r="J1207">
            <v>7</v>
          </cell>
          <cell r="K1207" t="str">
            <v>₪</v>
          </cell>
          <cell r="L1207">
            <v>66</v>
          </cell>
          <cell r="M1207" t="str">
            <v>יח'</v>
          </cell>
          <cell r="N1207">
            <v>462</v>
          </cell>
        </row>
        <row r="1208">
          <cell r="B1208" t="str">
            <v>MS51830-201L</v>
          </cell>
          <cell r="C1208">
            <v>40248</v>
          </cell>
          <cell r="D1208">
            <v>1</v>
          </cell>
          <cell r="E1208" t="str">
            <v>קשיח</v>
          </cell>
          <cell r="F1208" t="str">
            <v>01.0254</v>
          </cell>
          <cell r="G1208">
            <v>45739</v>
          </cell>
          <cell r="H1208" t="str">
            <v>01.0254</v>
          </cell>
          <cell r="I1208" t="str">
            <v>לוונשטיין טכנולוגיות בע"מ</v>
          </cell>
          <cell r="J1208">
            <v>6.5</v>
          </cell>
          <cell r="K1208" t="str">
            <v>₪</v>
          </cell>
          <cell r="L1208">
            <v>350</v>
          </cell>
          <cell r="M1208" t="str">
            <v>יח'</v>
          </cell>
          <cell r="N1208">
            <v>2275</v>
          </cell>
        </row>
        <row r="1209">
          <cell r="B1209" t="str">
            <v>MS51830-201L</v>
          </cell>
          <cell r="C1209">
            <v>39098</v>
          </cell>
          <cell r="D1209">
            <v>1</v>
          </cell>
          <cell r="E1209" t="str">
            <v>קשיח</v>
          </cell>
          <cell r="F1209" t="str">
            <v>01.0254</v>
          </cell>
          <cell r="G1209">
            <v>45636</v>
          </cell>
          <cell r="H1209" t="str">
            <v>01.0254</v>
          </cell>
          <cell r="I1209" t="str">
            <v>ברמיל בע"מ</v>
          </cell>
          <cell r="J1209">
            <v>7.55</v>
          </cell>
          <cell r="K1209" t="str">
            <v>₪</v>
          </cell>
          <cell r="L1209">
            <v>150</v>
          </cell>
          <cell r="M1209" t="str">
            <v>יח'</v>
          </cell>
          <cell r="N1209">
            <v>1132.5</v>
          </cell>
        </row>
        <row r="1210">
          <cell r="B1210" t="str">
            <v>MS51830-201L</v>
          </cell>
          <cell r="C1210">
            <v>39045</v>
          </cell>
          <cell r="D1210">
            <v>1</v>
          </cell>
          <cell r="E1210" t="str">
            <v>קשיח</v>
          </cell>
          <cell r="F1210" t="str">
            <v>01.0254</v>
          </cell>
          <cell r="G1210">
            <v>45630</v>
          </cell>
          <cell r="H1210" t="str">
            <v>01.0254</v>
          </cell>
          <cell r="I1210" t="str">
            <v>דר טכנולוגיות בע"מ</v>
          </cell>
          <cell r="J1210">
            <v>6.7</v>
          </cell>
          <cell r="K1210" t="str">
            <v>₪</v>
          </cell>
          <cell r="L1210">
            <v>100</v>
          </cell>
          <cell r="M1210" t="str">
            <v>יח'</v>
          </cell>
          <cell r="N1210">
            <v>670</v>
          </cell>
        </row>
        <row r="1211">
          <cell r="B1211" t="str">
            <v>MS51830-201L</v>
          </cell>
          <cell r="C1211">
            <v>38153</v>
          </cell>
          <cell r="D1211">
            <v>5</v>
          </cell>
          <cell r="E1211" t="str">
            <v>קשיח</v>
          </cell>
          <cell r="F1211" t="str">
            <v>01.0254</v>
          </cell>
          <cell r="G1211">
            <v>45530</v>
          </cell>
          <cell r="H1211" t="str">
            <v>01.0254</v>
          </cell>
          <cell r="I1211" t="str">
            <v>דר טכנולוגיות בע"מ</v>
          </cell>
          <cell r="J1211">
            <v>6.6</v>
          </cell>
          <cell r="K1211" t="str">
            <v>₪</v>
          </cell>
          <cell r="L1211">
            <v>370</v>
          </cell>
          <cell r="M1211" t="str">
            <v>יח'</v>
          </cell>
          <cell r="N1211">
            <v>2442</v>
          </cell>
        </row>
        <row r="1212">
          <cell r="B1212" t="str">
            <v>MS51830-201L</v>
          </cell>
          <cell r="C1212">
            <v>37855</v>
          </cell>
          <cell r="D1212">
            <v>1</v>
          </cell>
          <cell r="E1212" t="str">
            <v>קשיח</v>
          </cell>
          <cell r="F1212" t="str">
            <v>01.0254</v>
          </cell>
          <cell r="G1212">
            <v>45501</v>
          </cell>
          <cell r="H1212" t="str">
            <v>01.0254</v>
          </cell>
          <cell r="I1212" t="str">
            <v>דר טכנולוגיות בע"מ</v>
          </cell>
          <cell r="J1212">
            <v>6.45</v>
          </cell>
          <cell r="K1212" t="str">
            <v>₪</v>
          </cell>
          <cell r="L1212">
            <v>200</v>
          </cell>
          <cell r="M1212" t="str">
            <v>יח'</v>
          </cell>
          <cell r="N1212">
            <v>1290</v>
          </cell>
        </row>
        <row r="1213">
          <cell r="B1213" t="str">
            <v>MS51830-201L</v>
          </cell>
          <cell r="C1213">
            <v>37206</v>
          </cell>
          <cell r="D1213">
            <v>1</v>
          </cell>
          <cell r="E1213" t="str">
            <v>קשיח</v>
          </cell>
          <cell r="F1213" t="str">
            <v>01.0254</v>
          </cell>
          <cell r="G1213">
            <v>45431</v>
          </cell>
          <cell r="H1213" t="str">
            <v>01.0254</v>
          </cell>
          <cell r="I1213" t="str">
            <v>לוונשטיין טכנולוגיות בע"מ</v>
          </cell>
          <cell r="J1213">
            <v>6.5</v>
          </cell>
          <cell r="K1213" t="str">
            <v>₪</v>
          </cell>
          <cell r="L1213">
            <v>500</v>
          </cell>
          <cell r="M1213" t="str">
            <v>יח'</v>
          </cell>
          <cell r="N1213">
            <v>3250</v>
          </cell>
        </row>
        <row r="1214">
          <cell r="B1214" t="str">
            <v>MS51830-201L</v>
          </cell>
          <cell r="C1214">
            <v>24498</v>
          </cell>
          <cell r="D1214">
            <v>1</v>
          </cell>
          <cell r="E1214" t="str">
            <v>קשיח</v>
          </cell>
          <cell r="F1214" t="str">
            <v>01.0254</v>
          </cell>
          <cell r="G1214">
            <v>43691</v>
          </cell>
          <cell r="H1214" t="str">
            <v>01.0254</v>
          </cell>
          <cell r="I1214" t="str">
            <v>ברמיל בע"מ</v>
          </cell>
          <cell r="J1214">
            <v>4.5</v>
          </cell>
          <cell r="K1214" t="str">
            <v>₪</v>
          </cell>
          <cell r="L1214">
            <v>500</v>
          </cell>
          <cell r="M1214" t="str">
            <v>יח'</v>
          </cell>
          <cell r="N1214">
            <v>2250</v>
          </cell>
        </row>
        <row r="1215">
          <cell r="B1215" t="str">
            <v>MS51830-201L</v>
          </cell>
          <cell r="C1215">
            <v>24390</v>
          </cell>
          <cell r="D1215">
            <v>1</v>
          </cell>
          <cell r="E1215" t="str">
            <v>קשיח</v>
          </cell>
          <cell r="F1215" t="str">
            <v>01.0254</v>
          </cell>
          <cell r="G1215">
            <v>43678</v>
          </cell>
          <cell r="H1215" t="str">
            <v>01.0254</v>
          </cell>
          <cell r="I1215" t="str">
            <v>ברמיל בע"מ</v>
          </cell>
          <cell r="J1215">
            <v>4.5</v>
          </cell>
          <cell r="K1215" t="str">
            <v>₪</v>
          </cell>
          <cell r="L1215">
            <v>300</v>
          </cell>
          <cell r="M1215" t="str">
            <v>יח'</v>
          </cell>
          <cell r="N1215">
            <v>1350</v>
          </cell>
        </row>
        <row r="1216">
          <cell r="B1216" t="str">
            <v>MS51830-201L</v>
          </cell>
          <cell r="C1216">
            <v>10818</v>
          </cell>
          <cell r="D1216">
            <v>1</v>
          </cell>
          <cell r="E1216" t="str">
            <v>קשיח</v>
          </cell>
          <cell r="F1216" t="str">
            <v>01.0254</v>
          </cell>
          <cell r="G1216">
            <v>42387</v>
          </cell>
          <cell r="H1216" t="str">
            <v>01.0254</v>
          </cell>
          <cell r="I1216" t="str">
            <v>גין מהנדסים בע"מ</v>
          </cell>
          <cell r="J1216">
            <v>0</v>
          </cell>
          <cell r="K1216" t="str">
            <v>₪</v>
          </cell>
          <cell r="M1216" t="str">
            <v>יח'</v>
          </cell>
        </row>
        <row r="1217">
          <cell r="B1217" t="str">
            <v>MS51830-201L</v>
          </cell>
          <cell r="C1217">
            <v>10641</v>
          </cell>
          <cell r="D1217">
            <v>1</v>
          </cell>
          <cell r="E1217" t="str">
            <v>קשיח</v>
          </cell>
          <cell r="F1217" t="str">
            <v>01.0254</v>
          </cell>
          <cell r="G1217">
            <v>42367</v>
          </cell>
          <cell r="H1217" t="str">
            <v>01.0254</v>
          </cell>
          <cell r="I1217" t="str">
            <v>לוונשטיין טכנולוגיות</v>
          </cell>
          <cell r="J1217">
            <v>9.35</v>
          </cell>
          <cell r="K1217" t="str">
            <v>₪</v>
          </cell>
          <cell r="L1217">
            <v>50</v>
          </cell>
          <cell r="M1217" t="str">
            <v>יח'</v>
          </cell>
          <cell r="N1217">
            <v>467.5</v>
          </cell>
        </row>
        <row r="1218">
          <cell r="B1218" t="str">
            <v>MS51830-102L</v>
          </cell>
          <cell r="C1218">
            <v>39344</v>
          </cell>
          <cell r="D1218">
            <v>1</v>
          </cell>
          <cell r="E1218" t="str">
            <v>קשיח</v>
          </cell>
          <cell r="F1218" t="str">
            <v>01.0255</v>
          </cell>
          <cell r="G1218">
            <v>45664</v>
          </cell>
          <cell r="H1218" t="str">
            <v>01.0255</v>
          </cell>
          <cell r="I1218" t="str">
            <v>ברמיל בע"מ</v>
          </cell>
          <cell r="J1218">
            <v>10.55</v>
          </cell>
          <cell r="K1218" t="str">
            <v>₪</v>
          </cell>
          <cell r="L1218">
            <v>250</v>
          </cell>
          <cell r="M1218" t="str">
            <v>יח'</v>
          </cell>
          <cell r="N1218">
            <v>2637.5</v>
          </cell>
        </row>
        <row r="1219">
          <cell r="B1219" t="str">
            <v>MS51830-102L</v>
          </cell>
          <cell r="C1219">
            <v>39305</v>
          </cell>
          <cell r="D1219">
            <v>1</v>
          </cell>
          <cell r="E1219" t="str">
            <v>קשיח</v>
          </cell>
          <cell r="F1219" t="str">
            <v>01.0255</v>
          </cell>
          <cell r="G1219">
            <v>45655</v>
          </cell>
          <cell r="H1219" t="str">
            <v>01.0255</v>
          </cell>
          <cell r="I1219" t="str">
            <v>גין מהנדסים בע"מ</v>
          </cell>
          <cell r="J1219">
            <v>10.5</v>
          </cell>
          <cell r="K1219" t="str">
            <v>₪</v>
          </cell>
          <cell r="L1219">
            <v>200</v>
          </cell>
          <cell r="M1219" t="str">
            <v>יח'</v>
          </cell>
          <cell r="N1219">
            <v>2100</v>
          </cell>
        </row>
        <row r="1220">
          <cell r="B1220" t="str">
            <v>MS51830-102L</v>
          </cell>
          <cell r="C1220">
            <v>24201</v>
          </cell>
          <cell r="D1220">
            <v>1</v>
          </cell>
          <cell r="E1220" t="str">
            <v>קשיח</v>
          </cell>
          <cell r="F1220" t="str">
            <v>01.0255</v>
          </cell>
          <cell r="G1220">
            <v>43655</v>
          </cell>
          <cell r="H1220" t="str">
            <v>01.0255</v>
          </cell>
          <cell r="I1220" t="str">
            <v>ברמיל בע"מ</v>
          </cell>
          <cell r="J1220">
            <v>5.3</v>
          </cell>
          <cell r="K1220" t="str">
            <v>₪</v>
          </cell>
          <cell r="L1220">
            <v>500</v>
          </cell>
          <cell r="M1220" t="str">
            <v>יח'</v>
          </cell>
          <cell r="N1220">
            <v>2650</v>
          </cell>
        </row>
        <row r="1221">
          <cell r="B1221" t="str">
            <v>MS51830-102L</v>
          </cell>
          <cell r="C1221">
            <v>10641</v>
          </cell>
          <cell r="D1221">
            <v>2</v>
          </cell>
          <cell r="E1221" t="str">
            <v>קשיח</v>
          </cell>
          <cell r="F1221" t="str">
            <v>01.0255</v>
          </cell>
          <cell r="G1221">
            <v>42367</v>
          </cell>
          <cell r="H1221" t="str">
            <v>01.0255</v>
          </cell>
          <cell r="I1221" t="str">
            <v>לוונשטיין טכנולוגיות</v>
          </cell>
          <cell r="J1221">
            <v>0</v>
          </cell>
          <cell r="K1221" t="str">
            <v>₪</v>
          </cell>
          <cell r="L1221">
            <v>50</v>
          </cell>
          <cell r="M1221" t="str">
            <v>יח'</v>
          </cell>
          <cell r="N1221">
            <v>0</v>
          </cell>
        </row>
        <row r="1222">
          <cell r="B1222" t="str">
            <v>primer MIL-PRF-81733 TyI   A- 870A2</v>
          </cell>
          <cell r="C1222">
            <v>30965</v>
          </cell>
          <cell r="D1222">
            <v>1</v>
          </cell>
          <cell r="E1222" t="str">
            <v>קשיח</v>
          </cell>
          <cell r="F1222" t="str">
            <v>01.0256</v>
          </cell>
          <cell r="G1222">
            <v>44619</v>
          </cell>
          <cell r="H1222" t="str">
            <v>01.0256</v>
          </cell>
          <cell r="I1222" t="str">
            <v>לשם טכנולוגיות תעשיי</v>
          </cell>
          <cell r="J1222">
            <v>295</v>
          </cell>
          <cell r="K1222" t="str">
            <v>$</v>
          </cell>
          <cell r="L1222">
            <v>1</v>
          </cell>
          <cell r="M1222" t="str">
            <v>L</v>
          </cell>
          <cell r="N1222">
            <v>906.24</v>
          </cell>
        </row>
        <row r="1223">
          <cell r="B1223" t="str">
            <v>primer MIL-PRF-81733 TyI   A- 870A2</v>
          </cell>
          <cell r="C1223">
            <v>29230</v>
          </cell>
          <cell r="D1223">
            <v>1</v>
          </cell>
          <cell r="E1223" t="str">
            <v>קשיח</v>
          </cell>
          <cell r="F1223" t="str">
            <v>01.0256</v>
          </cell>
          <cell r="G1223">
            <v>44383</v>
          </cell>
          <cell r="H1223" t="str">
            <v>01.0256</v>
          </cell>
          <cell r="I1223" t="str">
            <v>לשם טכנולוגיות תעשיי</v>
          </cell>
          <cell r="J1223">
            <v>295</v>
          </cell>
          <cell r="K1223" t="str">
            <v>$</v>
          </cell>
          <cell r="L1223">
            <v>1</v>
          </cell>
          <cell r="M1223" t="str">
            <v>L</v>
          </cell>
          <cell r="N1223">
            <v>906.24</v>
          </cell>
        </row>
        <row r="1224">
          <cell r="B1224" t="str">
            <v>primer MIL-PRF-81733 TyI   A- 870A2</v>
          </cell>
          <cell r="C1224">
            <v>27609</v>
          </cell>
          <cell r="D1224">
            <v>1</v>
          </cell>
          <cell r="E1224" t="str">
            <v>קשיח</v>
          </cell>
          <cell r="F1224" t="str">
            <v>01.0256</v>
          </cell>
          <cell r="G1224">
            <v>44160</v>
          </cell>
          <cell r="H1224" t="str">
            <v>01.0256</v>
          </cell>
          <cell r="I1224" t="str">
            <v>לשם טכנולוגיות תעשיי</v>
          </cell>
          <cell r="J1224">
            <v>295</v>
          </cell>
          <cell r="K1224" t="str">
            <v>$</v>
          </cell>
          <cell r="L1224">
            <v>1</v>
          </cell>
          <cell r="M1224" t="str">
            <v>L</v>
          </cell>
          <cell r="N1224">
            <v>906.24</v>
          </cell>
        </row>
        <row r="1225">
          <cell r="B1225" t="str">
            <v>primer MIL-PRF-81733 Ty I  CL I A- 870A2</v>
          </cell>
          <cell r="C1225">
            <v>26094</v>
          </cell>
          <cell r="D1225">
            <v>2</v>
          </cell>
          <cell r="E1225" t="str">
            <v>קשיח</v>
          </cell>
          <cell r="F1225" t="str">
            <v>01.0256</v>
          </cell>
          <cell r="G1225">
            <v>43956</v>
          </cell>
          <cell r="H1225" t="str">
            <v>01.0256</v>
          </cell>
          <cell r="I1225" t="str">
            <v>לשם טכנולוגיות תעשיי</v>
          </cell>
          <cell r="J1225">
            <v>295</v>
          </cell>
          <cell r="K1225" t="str">
            <v>$</v>
          </cell>
          <cell r="L1225">
            <v>1</v>
          </cell>
          <cell r="M1225" t="str">
            <v>L</v>
          </cell>
          <cell r="N1225">
            <v>906.24</v>
          </cell>
        </row>
        <row r="1226">
          <cell r="B1226" t="str">
            <v>KNHL428J/MS51831-202L</v>
          </cell>
          <cell r="C1226">
            <v>38438</v>
          </cell>
          <cell r="D1226">
            <v>3</v>
          </cell>
          <cell r="E1226" t="str">
            <v>קשיח</v>
          </cell>
          <cell r="F1226" t="str">
            <v>01.0257</v>
          </cell>
          <cell r="G1226">
            <v>45561</v>
          </cell>
          <cell r="H1226" t="str">
            <v>01.0257</v>
          </cell>
          <cell r="I1226" t="str">
            <v>גין מהנדסים בע"מ</v>
          </cell>
          <cell r="J1226">
            <v>7.5</v>
          </cell>
          <cell r="K1226" t="str">
            <v>₪</v>
          </cell>
          <cell r="L1226">
            <v>45</v>
          </cell>
          <cell r="M1226" t="str">
            <v>יח'</v>
          </cell>
          <cell r="N1226">
            <v>337.5</v>
          </cell>
        </row>
        <row r="1227">
          <cell r="B1227" t="str">
            <v>Keensert KNHM16*2</v>
          </cell>
          <cell r="C1227">
            <v>40370</v>
          </cell>
          <cell r="D1227">
            <v>1</v>
          </cell>
          <cell r="E1227" t="str">
            <v>קשיח</v>
          </cell>
          <cell r="F1227" t="str">
            <v>01.0258</v>
          </cell>
          <cell r="G1227">
            <v>45748</v>
          </cell>
          <cell r="H1227" t="str">
            <v>01.0258</v>
          </cell>
          <cell r="I1227" t="str">
            <v>לוונשטיין טכנולוגיות בע"מ</v>
          </cell>
          <cell r="J1227">
            <v>29</v>
          </cell>
          <cell r="K1227" t="str">
            <v>₪</v>
          </cell>
          <cell r="L1227">
            <v>25</v>
          </cell>
          <cell r="M1227" t="str">
            <v>יח'</v>
          </cell>
          <cell r="N1227">
            <v>725</v>
          </cell>
        </row>
        <row r="1228">
          <cell r="B1228" t="str">
            <v>Keensert KNHM10*1.5  [M16*1.5- 6H ]   76367</v>
          </cell>
          <cell r="C1228">
            <v>37412</v>
          </cell>
          <cell r="D1228">
            <v>1</v>
          </cell>
          <cell r="E1228" t="str">
            <v>קשיח</v>
          </cell>
          <cell r="F1228" t="str">
            <v>01.0259</v>
          </cell>
          <cell r="G1228">
            <v>45448</v>
          </cell>
          <cell r="H1228" t="str">
            <v>01.0259</v>
          </cell>
          <cell r="I1228" t="str">
            <v>גין מהנדסים בע"מ</v>
          </cell>
          <cell r="J1228">
            <v>15</v>
          </cell>
          <cell r="K1228" t="str">
            <v>₪</v>
          </cell>
          <cell r="L1228">
            <v>260</v>
          </cell>
          <cell r="M1228" t="str">
            <v>יח'</v>
          </cell>
          <cell r="N1228">
            <v>3900</v>
          </cell>
        </row>
        <row r="1229">
          <cell r="B1229" t="str">
            <v>Keensert KNHM10*1.5  [M16*1.5- 6H ]   76367</v>
          </cell>
          <cell r="C1229">
            <v>34836</v>
          </cell>
          <cell r="D1229">
            <v>1</v>
          </cell>
          <cell r="E1229" t="str">
            <v>קשיח</v>
          </cell>
          <cell r="F1229" t="str">
            <v>01.0259</v>
          </cell>
          <cell r="G1229">
            <v>45154</v>
          </cell>
          <cell r="H1229" t="str">
            <v>01.0259</v>
          </cell>
          <cell r="I1229" t="str">
            <v>גין מהנדסים בע"מ</v>
          </cell>
          <cell r="J1229">
            <v>15</v>
          </cell>
          <cell r="K1229" t="str">
            <v>₪</v>
          </cell>
          <cell r="L1229">
            <v>70</v>
          </cell>
          <cell r="M1229" t="str">
            <v>יח'</v>
          </cell>
          <cell r="N1229">
            <v>1050</v>
          </cell>
        </row>
        <row r="1230">
          <cell r="B1230" t="str">
            <v>Keensert KNHM10*1.5  [M16*1.5- 6H ]   76367</v>
          </cell>
          <cell r="C1230">
            <v>33317</v>
          </cell>
          <cell r="D1230">
            <v>1</v>
          </cell>
          <cell r="E1230" t="str">
            <v>קשיח</v>
          </cell>
          <cell r="F1230" t="str">
            <v>01.0259</v>
          </cell>
          <cell r="G1230">
            <v>44959</v>
          </cell>
          <cell r="H1230" t="str">
            <v>01.0259</v>
          </cell>
          <cell r="I1230" t="str">
            <v>דר טכנולוגיות בע"מ</v>
          </cell>
          <cell r="J1230">
            <v>14</v>
          </cell>
          <cell r="K1230" t="str">
            <v>₪</v>
          </cell>
          <cell r="L1230">
            <v>30</v>
          </cell>
          <cell r="M1230" t="str">
            <v>יח'</v>
          </cell>
          <cell r="N1230">
            <v>420</v>
          </cell>
        </row>
        <row r="1231">
          <cell r="B1231" t="str">
            <v>Keensert KNHM10*1.5  [M16*1.5- 6H ]   76367</v>
          </cell>
          <cell r="C1231">
            <v>28173</v>
          </cell>
          <cell r="D1231">
            <v>1</v>
          </cell>
          <cell r="E1231" t="str">
            <v>קשיח</v>
          </cell>
          <cell r="F1231" t="str">
            <v>01.0259</v>
          </cell>
          <cell r="G1231">
            <v>44238</v>
          </cell>
          <cell r="H1231" t="str">
            <v>01.0259</v>
          </cell>
          <cell r="I1231" t="str">
            <v>גין מהנדסים בע"מ</v>
          </cell>
          <cell r="J1231">
            <v>15</v>
          </cell>
          <cell r="K1231" t="str">
            <v>₪</v>
          </cell>
          <cell r="L1231">
            <v>50</v>
          </cell>
          <cell r="M1231" t="str">
            <v>יח'</v>
          </cell>
          <cell r="N1231">
            <v>750</v>
          </cell>
        </row>
        <row r="1232">
          <cell r="B1232" t="str">
            <v>Keensert KNHM6*1</v>
          </cell>
          <cell r="C1232">
            <v>38019</v>
          </cell>
          <cell r="D1232">
            <v>1</v>
          </cell>
          <cell r="E1232" t="str">
            <v>קשיח</v>
          </cell>
          <cell r="F1232" t="str">
            <v>01.0260</v>
          </cell>
          <cell r="G1232">
            <v>45516</v>
          </cell>
          <cell r="H1232" t="str">
            <v>01.0260</v>
          </cell>
          <cell r="I1232" t="str">
            <v>גין מהנדסים בע"מ</v>
          </cell>
          <cell r="J1232">
            <v>25</v>
          </cell>
          <cell r="K1232" t="str">
            <v>₪</v>
          </cell>
          <cell r="L1232">
            <v>10</v>
          </cell>
          <cell r="M1232" t="str">
            <v>יח'</v>
          </cell>
          <cell r="N1232">
            <v>250</v>
          </cell>
        </row>
        <row r="1233">
          <cell r="B1233" t="str">
            <v>Keensert KNHM8*1.25</v>
          </cell>
          <cell r="C1233">
            <v>38136</v>
          </cell>
          <cell r="D1233">
            <v>1</v>
          </cell>
          <cell r="E1233" t="str">
            <v>קשיח</v>
          </cell>
          <cell r="F1233" t="str">
            <v>01.0261</v>
          </cell>
          <cell r="G1233">
            <v>45530</v>
          </cell>
          <cell r="H1233" t="str">
            <v>01.0261</v>
          </cell>
          <cell r="I1233" t="str">
            <v>לוונשטיין טכנולוגיות בע"מ</v>
          </cell>
          <cell r="J1233">
            <v>19</v>
          </cell>
          <cell r="K1233" t="str">
            <v>₪</v>
          </cell>
          <cell r="L1233">
            <v>15</v>
          </cell>
          <cell r="M1233" t="str">
            <v>יח'</v>
          </cell>
          <cell r="N1233">
            <v>285</v>
          </cell>
        </row>
        <row r="1234">
          <cell r="B1234" t="str">
            <v>Keensert KNHM8*1.25</v>
          </cell>
          <cell r="C1234">
            <v>37417</v>
          </cell>
          <cell r="D1234">
            <v>1</v>
          </cell>
          <cell r="E1234" t="str">
            <v>קשיח</v>
          </cell>
          <cell r="F1234" t="str">
            <v>01.0261</v>
          </cell>
          <cell r="G1234">
            <v>45449</v>
          </cell>
          <cell r="H1234" t="str">
            <v>01.0261</v>
          </cell>
          <cell r="I1234" t="str">
            <v>לוונשטיין טכנולוגיות בע"מ</v>
          </cell>
          <cell r="J1234">
            <v>18</v>
          </cell>
          <cell r="K1234" t="str">
            <v>₪</v>
          </cell>
          <cell r="L1234">
            <v>15</v>
          </cell>
          <cell r="M1234" t="str">
            <v>יח'</v>
          </cell>
          <cell r="N1234">
            <v>270</v>
          </cell>
        </row>
        <row r="1235">
          <cell r="B1235" t="str">
            <v>Keensert KNHM12*1.75</v>
          </cell>
          <cell r="C1235">
            <v>37417</v>
          </cell>
          <cell r="D1235">
            <v>2</v>
          </cell>
          <cell r="E1235" t="str">
            <v>קשיח</v>
          </cell>
          <cell r="F1235" t="str">
            <v>01.0262</v>
          </cell>
          <cell r="G1235">
            <v>45449</v>
          </cell>
          <cell r="H1235" t="str">
            <v>01.0262</v>
          </cell>
          <cell r="I1235" t="str">
            <v>לוונשטיין טכנולוגיות בע"מ</v>
          </cell>
          <cell r="J1235">
            <v>22</v>
          </cell>
          <cell r="K1235" t="str">
            <v>₪</v>
          </cell>
          <cell r="L1235">
            <v>10</v>
          </cell>
          <cell r="M1235" t="str">
            <v>יח'</v>
          </cell>
          <cell r="N1235">
            <v>220</v>
          </cell>
        </row>
        <row r="1236">
          <cell r="B1236" t="str">
            <v>MS21209C0410L</v>
          </cell>
          <cell r="C1236">
            <v>44641</v>
          </cell>
          <cell r="D1236">
            <v>1</v>
          </cell>
          <cell r="E1236" t="str">
            <v>קשיח</v>
          </cell>
          <cell r="F1236" t="str">
            <v>01.0264</v>
          </cell>
          <cell r="G1236">
            <v>46049</v>
          </cell>
          <cell r="H1236" t="str">
            <v>01.0264</v>
          </cell>
          <cell r="I1236" t="str">
            <v>דר טכנולוגיות בע"מ</v>
          </cell>
          <cell r="J1236">
            <v>0.9</v>
          </cell>
          <cell r="K1236" t="str">
            <v>₪</v>
          </cell>
          <cell r="L1236">
            <v>1000</v>
          </cell>
          <cell r="M1236" t="str">
            <v>יח'</v>
          </cell>
          <cell r="N1236">
            <v>900</v>
          </cell>
        </row>
        <row r="1237">
          <cell r="B1237" t="str">
            <v>MS21209C0410L</v>
          </cell>
          <cell r="C1237">
            <v>40697</v>
          </cell>
          <cell r="D1237">
            <v>1</v>
          </cell>
          <cell r="E1237" t="str">
            <v>קשיח</v>
          </cell>
          <cell r="F1237" t="str">
            <v>01.0264</v>
          </cell>
          <cell r="G1237">
            <v>45775</v>
          </cell>
          <cell r="H1237" t="str">
            <v>01.0264</v>
          </cell>
          <cell r="I1237" t="str">
            <v>דר טכנולוגיות בע"מ</v>
          </cell>
          <cell r="J1237">
            <v>0.9</v>
          </cell>
          <cell r="K1237" t="str">
            <v>₪</v>
          </cell>
          <cell r="L1237">
            <v>500</v>
          </cell>
          <cell r="M1237" t="str">
            <v>יח'</v>
          </cell>
          <cell r="N1237">
            <v>450</v>
          </cell>
        </row>
        <row r="1238">
          <cell r="B1238" t="str">
            <v>MS21209C0410L</v>
          </cell>
          <cell r="C1238">
            <v>40483</v>
          </cell>
          <cell r="D1238">
            <v>1</v>
          </cell>
          <cell r="E1238" t="str">
            <v>קשיח</v>
          </cell>
          <cell r="F1238" t="str">
            <v>01.0264</v>
          </cell>
          <cell r="G1238">
            <v>45757</v>
          </cell>
          <cell r="H1238" t="str">
            <v>01.0264</v>
          </cell>
          <cell r="I1238" t="str">
            <v>דר טכנולוגיות בע"מ</v>
          </cell>
          <cell r="J1238">
            <v>0.9</v>
          </cell>
          <cell r="K1238" t="str">
            <v>₪</v>
          </cell>
          <cell r="L1238">
            <v>200</v>
          </cell>
          <cell r="M1238" t="str">
            <v>יח'</v>
          </cell>
          <cell r="N1238">
            <v>180</v>
          </cell>
        </row>
        <row r="1239">
          <cell r="B1239" t="str">
            <v>MS21209C0410L</v>
          </cell>
          <cell r="C1239">
            <v>40362</v>
          </cell>
          <cell r="D1239">
            <v>1</v>
          </cell>
          <cell r="E1239" t="str">
            <v>קשיח</v>
          </cell>
          <cell r="F1239" t="str">
            <v>01.0264</v>
          </cell>
          <cell r="G1239">
            <v>45747</v>
          </cell>
          <cell r="H1239" t="str">
            <v>01.0264</v>
          </cell>
          <cell r="I1239" t="str">
            <v>דר טכנולוגיות בע"מ</v>
          </cell>
          <cell r="J1239">
            <v>0.9</v>
          </cell>
          <cell r="K1239" t="str">
            <v>₪</v>
          </cell>
          <cell r="L1239">
            <v>1500</v>
          </cell>
          <cell r="M1239" t="str">
            <v>יח'</v>
          </cell>
          <cell r="N1239">
            <v>1350</v>
          </cell>
        </row>
        <row r="1240">
          <cell r="B1240" t="str">
            <v>MS21209C0410L</v>
          </cell>
          <cell r="C1240">
            <v>37378</v>
          </cell>
          <cell r="D1240">
            <v>1</v>
          </cell>
          <cell r="E1240" t="str">
            <v>קשיח</v>
          </cell>
          <cell r="F1240" t="str">
            <v>01.0264</v>
          </cell>
          <cell r="G1240">
            <v>45446</v>
          </cell>
          <cell r="H1240" t="str">
            <v>01.0264</v>
          </cell>
          <cell r="I1240" t="str">
            <v>לוונשטיין טכנולוגיות בע"מ</v>
          </cell>
          <cell r="J1240">
            <v>1.5</v>
          </cell>
          <cell r="K1240" t="str">
            <v>₪</v>
          </cell>
          <cell r="L1240">
            <v>200</v>
          </cell>
          <cell r="M1240" t="str">
            <v>יח'</v>
          </cell>
          <cell r="N1240">
            <v>300</v>
          </cell>
        </row>
        <row r="1241">
          <cell r="B1241" t="str">
            <v>MS21209C0410L</v>
          </cell>
          <cell r="C1241">
            <v>36564</v>
          </cell>
          <cell r="D1241">
            <v>1</v>
          </cell>
          <cell r="E1241" t="str">
            <v>קשיח</v>
          </cell>
          <cell r="F1241" t="str">
            <v>01.0264</v>
          </cell>
          <cell r="G1241">
            <v>45355</v>
          </cell>
          <cell r="H1241" t="str">
            <v>01.0264</v>
          </cell>
          <cell r="I1241" t="str">
            <v>לוונשטיין טכנולוגיות בע"מ</v>
          </cell>
          <cell r="J1241">
            <v>1.6</v>
          </cell>
          <cell r="K1241" t="str">
            <v>₪</v>
          </cell>
          <cell r="L1241">
            <v>420</v>
          </cell>
          <cell r="M1241" t="str">
            <v>יח'</v>
          </cell>
          <cell r="N1241">
            <v>672</v>
          </cell>
        </row>
        <row r="1242">
          <cell r="B1242" t="str">
            <v>MS21209C0410L</v>
          </cell>
          <cell r="C1242">
            <v>23933</v>
          </cell>
          <cell r="D1242">
            <v>1</v>
          </cell>
          <cell r="E1242" t="str">
            <v>קשיח</v>
          </cell>
          <cell r="F1242" t="str">
            <v>01.0264</v>
          </cell>
          <cell r="G1242">
            <v>43621</v>
          </cell>
          <cell r="H1242" t="str">
            <v>01.0264</v>
          </cell>
          <cell r="I1242" t="str">
            <v>ברמיל בע"מ</v>
          </cell>
          <cell r="J1242">
            <v>0.6</v>
          </cell>
          <cell r="K1242" t="str">
            <v>₪</v>
          </cell>
          <cell r="L1242">
            <v>500</v>
          </cell>
          <cell r="M1242" t="str">
            <v>יח'</v>
          </cell>
          <cell r="N1242">
            <v>300</v>
          </cell>
        </row>
        <row r="1243">
          <cell r="B1243" t="str">
            <v>MS21209C0410L</v>
          </cell>
          <cell r="C1243">
            <v>23546</v>
          </cell>
          <cell r="D1243">
            <v>1</v>
          </cell>
          <cell r="E1243" t="str">
            <v>קשיח</v>
          </cell>
          <cell r="F1243" t="str">
            <v>01.0264</v>
          </cell>
          <cell r="G1243">
            <v>43579</v>
          </cell>
          <cell r="H1243" t="str">
            <v>01.0264</v>
          </cell>
          <cell r="I1243" t="str">
            <v>ברמיל בע"מ</v>
          </cell>
          <cell r="J1243">
            <v>0.6</v>
          </cell>
          <cell r="K1243" t="str">
            <v>₪</v>
          </cell>
          <cell r="L1243">
            <v>200</v>
          </cell>
          <cell r="M1243" t="str">
            <v>יח'</v>
          </cell>
          <cell r="N1243">
            <v>120</v>
          </cell>
        </row>
        <row r="1244">
          <cell r="B1244" t="str">
            <v>MS21209C0410L</v>
          </cell>
          <cell r="C1244">
            <v>21998</v>
          </cell>
          <cell r="D1244">
            <v>1</v>
          </cell>
          <cell r="E1244" t="str">
            <v>קשיח</v>
          </cell>
          <cell r="F1244" t="str">
            <v>01.0264</v>
          </cell>
          <cell r="G1244">
            <v>43395</v>
          </cell>
          <cell r="H1244" t="str">
            <v>01.0264</v>
          </cell>
          <cell r="I1244" t="str">
            <v>גין מהנדסים בע"מ</v>
          </cell>
          <cell r="J1244">
            <v>0</v>
          </cell>
          <cell r="K1244" t="str">
            <v>₪</v>
          </cell>
          <cell r="M1244" t="str">
            <v>יח'</v>
          </cell>
        </row>
        <row r="1245">
          <cell r="B1245" t="str">
            <v>MS21209C0410L</v>
          </cell>
          <cell r="C1245">
            <v>21334</v>
          </cell>
          <cell r="D1245">
            <v>1</v>
          </cell>
          <cell r="E1245" t="str">
            <v>קשיח</v>
          </cell>
          <cell r="F1245" t="str">
            <v>01.0264</v>
          </cell>
          <cell r="G1245">
            <v>43292</v>
          </cell>
          <cell r="H1245" t="str">
            <v>01.0264</v>
          </cell>
          <cell r="I1245" t="str">
            <v>גין מהנדסים בע"מ</v>
          </cell>
          <cell r="J1245">
            <v>0</v>
          </cell>
          <cell r="K1245" t="str">
            <v>₪</v>
          </cell>
          <cell r="M1245" t="str">
            <v>יח'</v>
          </cell>
        </row>
        <row r="1246">
          <cell r="B1246" t="str">
            <v>MS122122</v>
          </cell>
          <cell r="C1246">
            <v>29944</v>
          </cell>
          <cell r="D1246">
            <v>1</v>
          </cell>
          <cell r="E1246" t="str">
            <v>קשיח</v>
          </cell>
          <cell r="F1246" t="str">
            <v>01.0266</v>
          </cell>
          <cell r="G1246">
            <v>44482</v>
          </cell>
          <cell r="H1246" t="str">
            <v>01.0266</v>
          </cell>
          <cell r="I1246" t="str">
            <v>דר טכנולוגיות בע"מ</v>
          </cell>
          <cell r="J1246">
            <v>0.54990000000000006</v>
          </cell>
          <cell r="K1246" t="str">
            <v>₪</v>
          </cell>
          <cell r="L1246">
            <v>500</v>
          </cell>
          <cell r="M1246" t="str">
            <v>יח'</v>
          </cell>
          <cell r="N1246">
            <v>274.95000000000005</v>
          </cell>
        </row>
        <row r="1247">
          <cell r="B1247" t="str">
            <v>MS122122</v>
          </cell>
          <cell r="C1247">
            <v>27180</v>
          </cell>
          <cell r="D1247">
            <v>1</v>
          </cell>
          <cell r="E1247" t="str">
            <v>קשיח</v>
          </cell>
          <cell r="F1247" t="str">
            <v>01.0266</v>
          </cell>
          <cell r="G1247">
            <v>44103</v>
          </cell>
          <cell r="H1247" t="str">
            <v>01.0266</v>
          </cell>
          <cell r="I1247" t="str">
            <v>דר טכנולוגיות בע"מ</v>
          </cell>
          <cell r="J1247">
            <v>0.55000000000000004</v>
          </cell>
          <cell r="K1247" t="str">
            <v>₪</v>
          </cell>
          <cell r="L1247">
            <v>300</v>
          </cell>
          <cell r="M1247" t="str">
            <v>יח'</v>
          </cell>
          <cell r="N1247">
            <v>165</v>
          </cell>
        </row>
        <row r="1248">
          <cell r="B1248" t="str">
            <v>KNCM 4*0.7</v>
          </cell>
          <cell r="C1248">
            <v>42075</v>
          </cell>
          <cell r="D1248">
            <v>1</v>
          </cell>
          <cell r="E1248" t="str">
            <v>קשיח</v>
          </cell>
          <cell r="F1248" t="str">
            <v>01.0267</v>
          </cell>
          <cell r="G1248">
            <v>45908</v>
          </cell>
          <cell r="H1248" t="str">
            <v>01.0267</v>
          </cell>
          <cell r="I1248" t="str">
            <v>דר טכנולוגיות בע"מ</v>
          </cell>
          <cell r="J1248">
            <v>20</v>
          </cell>
          <cell r="K1248" t="str">
            <v>₪</v>
          </cell>
          <cell r="L1248">
            <v>15</v>
          </cell>
          <cell r="M1248" t="str">
            <v>יח'</v>
          </cell>
          <cell r="N1248">
            <v>300</v>
          </cell>
        </row>
        <row r="1249">
          <cell r="B1249" t="str">
            <v>KNCM 4*0.7</v>
          </cell>
          <cell r="C1249">
            <v>41994</v>
          </cell>
          <cell r="D1249">
            <v>2</v>
          </cell>
          <cell r="E1249" t="str">
            <v>קשיח</v>
          </cell>
          <cell r="F1249" t="str">
            <v>01.0267</v>
          </cell>
          <cell r="G1249">
            <v>45901</v>
          </cell>
          <cell r="H1249" t="str">
            <v>01.0267</v>
          </cell>
          <cell r="I1249" t="str">
            <v>דר טכנולוגיות בע"מ</v>
          </cell>
          <cell r="J1249">
            <v>20</v>
          </cell>
          <cell r="K1249" t="str">
            <v>₪</v>
          </cell>
          <cell r="L1249">
            <v>15</v>
          </cell>
          <cell r="M1249" t="str">
            <v>יח'</v>
          </cell>
          <cell r="N1249">
            <v>300</v>
          </cell>
        </row>
        <row r="1250">
          <cell r="B1250" t="str">
            <v>MS51831-202/. KNH428J</v>
          </cell>
          <cell r="C1250">
            <v>40360</v>
          </cell>
          <cell r="D1250">
            <v>1</v>
          </cell>
          <cell r="E1250" t="str">
            <v>קשיח</v>
          </cell>
          <cell r="F1250" t="str">
            <v>01.0268</v>
          </cell>
          <cell r="G1250">
            <v>45747</v>
          </cell>
          <cell r="H1250" t="str">
            <v>01.0268</v>
          </cell>
          <cell r="I1250" t="str">
            <v>גין מהנדסים בע"מ</v>
          </cell>
          <cell r="J1250">
            <v>5.5</v>
          </cell>
          <cell r="K1250" t="str">
            <v>₪</v>
          </cell>
          <cell r="L1250">
            <v>200</v>
          </cell>
          <cell r="M1250" t="str">
            <v>יח'</v>
          </cell>
          <cell r="N1250">
            <v>1100</v>
          </cell>
        </row>
        <row r="1251">
          <cell r="B1251" t="str">
            <v>MS51831-202</v>
          </cell>
          <cell r="C1251">
            <v>39853</v>
          </cell>
          <cell r="D1251">
            <v>1</v>
          </cell>
          <cell r="E1251" t="str">
            <v>קשיח</v>
          </cell>
          <cell r="F1251" t="str">
            <v>01.0268</v>
          </cell>
          <cell r="G1251">
            <v>45705</v>
          </cell>
          <cell r="H1251" t="str">
            <v>01.0268</v>
          </cell>
          <cell r="I1251" t="str">
            <v>גין מהנדסים בע"מ</v>
          </cell>
          <cell r="J1251">
            <v>5.5</v>
          </cell>
          <cell r="K1251" t="str">
            <v>₪</v>
          </cell>
          <cell r="L1251">
            <v>120</v>
          </cell>
          <cell r="M1251" t="str">
            <v>יח'</v>
          </cell>
          <cell r="N1251">
            <v>660</v>
          </cell>
        </row>
        <row r="1252">
          <cell r="B1252" t="str">
            <v>Helicoil M3*1.5d - Free</v>
          </cell>
          <cell r="C1252">
            <v>44626</v>
          </cell>
          <cell r="D1252">
            <v>1</v>
          </cell>
          <cell r="E1252" t="str">
            <v>קשיח</v>
          </cell>
          <cell r="F1252" t="str">
            <v>01.0270</v>
          </cell>
          <cell r="G1252">
            <v>46049</v>
          </cell>
          <cell r="H1252" t="str">
            <v>01.0270</v>
          </cell>
          <cell r="I1252" t="str">
            <v>דר טכנולוגיות בע"מ</v>
          </cell>
          <cell r="J1252">
            <v>0.5</v>
          </cell>
          <cell r="K1252" t="str">
            <v>₪</v>
          </cell>
          <cell r="L1252">
            <v>1000</v>
          </cell>
          <cell r="M1252" t="str">
            <v>יח'</v>
          </cell>
          <cell r="N1252">
            <v>500</v>
          </cell>
        </row>
        <row r="1253">
          <cell r="B1253" t="str">
            <v>Helicoil M3*1.5d - Free</v>
          </cell>
          <cell r="C1253">
            <v>32060</v>
          </cell>
          <cell r="D1253">
            <v>2</v>
          </cell>
          <cell r="E1253" t="str">
            <v>קשיח</v>
          </cell>
          <cell r="F1253" t="str">
            <v>01.0270</v>
          </cell>
          <cell r="G1253">
            <v>44770</v>
          </cell>
          <cell r="H1253" t="str">
            <v>01.0270</v>
          </cell>
          <cell r="I1253" t="str">
            <v>לוונשטיין טכנולוגיות בע"מ</v>
          </cell>
          <cell r="J1253">
            <v>0.51</v>
          </cell>
          <cell r="K1253" t="str">
            <v>₪</v>
          </cell>
          <cell r="L1253">
            <v>1000</v>
          </cell>
          <cell r="M1253" t="str">
            <v>יח'</v>
          </cell>
          <cell r="N1253">
            <v>510</v>
          </cell>
        </row>
        <row r="1254">
          <cell r="B1254" t="str">
            <v>Helicoil M3*1.5d - Free</v>
          </cell>
          <cell r="C1254">
            <v>30888</v>
          </cell>
          <cell r="D1254">
            <v>2</v>
          </cell>
          <cell r="E1254" t="str">
            <v>קשיח</v>
          </cell>
          <cell r="F1254" t="str">
            <v>01.0270</v>
          </cell>
          <cell r="G1254">
            <v>44606</v>
          </cell>
          <cell r="H1254" t="str">
            <v>01.0270</v>
          </cell>
          <cell r="I1254" t="str">
            <v>לוונשטיין טכנולוגיות בע"מ</v>
          </cell>
          <cell r="J1254">
            <v>0.51</v>
          </cell>
          <cell r="K1254" t="str">
            <v>₪</v>
          </cell>
          <cell r="L1254">
            <v>1000</v>
          </cell>
          <cell r="M1254" t="str">
            <v>יח'</v>
          </cell>
          <cell r="N1254">
            <v>510</v>
          </cell>
        </row>
        <row r="1255">
          <cell r="B1255" t="str">
            <v>Helicoil M3*1.5d - Free</v>
          </cell>
          <cell r="C1255">
            <v>26558</v>
          </cell>
          <cell r="D1255">
            <v>4</v>
          </cell>
          <cell r="E1255" t="str">
            <v>קשיח</v>
          </cell>
          <cell r="F1255" t="str">
            <v>01.0270</v>
          </cell>
          <cell r="G1255">
            <v>44014</v>
          </cell>
          <cell r="H1255" t="str">
            <v>01.0270</v>
          </cell>
          <cell r="I1255" t="str">
            <v>דר טכנולוגיות בע"מ</v>
          </cell>
          <cell r="J1255">
            <v>0.48</v>
          </cell>
          <cell r="K1255" t="str">
            <v>₪</v>
          </cell>
          <cell r="L1255">
            <v>1000</v>
          </cell>
          <cell r="M1255" t="str">
            <v>יח'</v>
          </cell>
          <cell r="N1255">
            <v>480</v>
          </cell>
        </row>
        <row r="1256">
          <cell r="B1256" t="str">
            <v>Helicoil M3*1.5d - Free</v>
          </cell>
          <cell r="C1256">
            <v>25773</v>
          </cell>
          <cell r="D1256">
            <v>1</v>
          </cell>
          <cell r="E1256" t="str">
            <v>קשיח</v>
          </cell>
          <cell r="F1256" t="str">
            <v>01.0270</v>
          </cell>
          <cell r="G1256">
            <v>43899</v>
          </cell>
          <cell r="H1256" t="str">
            <v>01.0270</v>
          </cell>
          <cell r="I1256" t="str">
            <v>לוונשטיין טכנולוגיות</v>
          </cell>
          <cell r="J1256">
            <v>0.51</v>
          </cell>
          <cell r="K1256" t="str">
            <v>₪</v>
          </cell>
          <cell r="L1256">
            <v>1000</v>
          </cell>
          <cell r="M1256" t="str">
            <v>יח'</v>
          </cell>
          <cell r="N1256">
            <v>510</v>
          </cell>
        </row>
        <row r="1257">
          <cell r="B1257" t="str">
            <v>Helicoil M3*1.5d - Free</v>
          </cell>
          <cell r="C1257">
            <v>25717</v>
          </cell>
          <cell r="D1257">
            <v>3</v>
          </cell>
          <cell r="E1257" t="str">
            <v>קשיח</v>
          </cell>
          <cell r="F1257" t="str">
            <v>01.0270</v>
          </cell>
          <cell r="G1257">
            <v>43887</v>
          </cell>
          <cell r="H1257" t="str">
            <v>01.0270</v>
          </cell>
          <cell r="I1257" t="str">
            <v>דר טכנולוגיות בע"מ</v>
          </cell>
          <cell r="J1257">
            <v>0</v>
          </cell>
          <cell r="K1257" t="str">
            <v>₪</v>
          </cell>
          <cell r="M1257" t="str">
            <v>יח'</v>
          </cell>
        </row>
        <row r="1258">
          <cell r="B1258" t="str">
            <v>Helicoil M3*1.5d - Free</v>
          </cell>
          <cell r="C1258">
            <v>23694</v>
          </cell>
          <cell r="D1258">
            <v>1</v>
          </cell>
          <cell r="E1258" t="str">
            <v>קשיח</v>
          </cell>
          <cell r="F1258" t="str">
            <v>01.0270</v>
          </cell>
          <cell r="G1258">
            <v>43597</v>
          </cell>
          <cell r="H1258" t="str">
            <v>01.0270</v>
          </cell>
          <cell r="I1258" t="str">
            <v>דר טכנולוגיות בע"מ</v>
          </cell>
          <cell r="J1258">
            <v>0.48</v>
          </cell>
          <cell r="K1258" t="str">
            <v>₪</v>
          </cell>
          <cell r="L1258">
            <v>1000</v>
          </cell>
          <cell r="M1258" t="str">
            <v>יח'</v>
          </cell>
          <cell r="N1258">
            <v>480</v>
          </cell>
        </row>
        <row r="1259">
          <cell r="B1259" t="str">
            <v>Helicoil M3*1.5d - Free</v>
          </cell>
          <cell r="C1259">
            <v>19155</v>
          </cell>
          <cell r="D1259">
            <v>1</v>
          </cell>
          <cell r="E1259" t="str">
            <v>קשיח</v>
          </cell>
          <cell r="F1259" t="str">
            <v>01.0270</v>
          </cell>
          <cell r="G1259">
            <v>43156</v>
          </cell>
          <cell r="H1259" t="str">
            <v>01.0270</v>
          </cell>
          <cell r="I1259" t="str">
            <v>דר טכנולוגיות בע"מ</v>
          </cell>
          <cell r="J1259">
            <v>0</v>
          </cell>
          <cell r="K1259" t="str">
            <v>₪</v>
          </cell>
          <cell r="M1259" t="str">
            <v>יח'</v>
          </cell>
        </row>
        <row r="1260">
          <cell r="B1260" t="str">
            <v>MS51831-204 ACME</v>
          </cell>
          <cell r="C1260">
            <v>41367</v>
          </cell>
          <cell r="D1260">
            <v>1</v>
          </cell>
          <cell r="E1260" t="str">
            <v>קשיח</v>
          </cell>
          <cell r="F1260" t="str">
            <v>01.0273</v>
          </cell>
          <cell r="G1260">
            <v>45841</v>
          </cell>
          <cell r="H1260" t="str">
            <v>01.0273</v>
          </cell>
          <cell r="I1260" t="str">
            <v>גין מהנדסים בע"מ</v>
          </cell>
          <cell r="J1260">
            <v>7</v>
          </cell>
          <cell r="K1260" t="str">
            <v>₪</v>
          </cell>
          <cell r="L1260">
            <v>100</v>
          </cell>
          <cell r="M1260" t="str">
            <v>יח'</v>
          </cell>
          <cell r="N1260">
            <v>700</v>
          </cell>
        </row>
        <row r="1261">
          <cell r="B1261" t="str">
            <v>MS51831-204 ACME</v>
          </cell>
          <cell r="C1261">
            <v>40547</v>
          </cell>
          <cell r="D1261">
            <v>1</v>
          </cell>
          <cell r="E1261" t="str">
            <v>קשיח</v>
          </cell>
          <cell r="F1261" t="str">
            <v>01.0273</v>
          </cell>
          <cell r="G1261">
            <v>45763</v>
          </cell>
          <cell r="H1261" t="str">
            <v>01.0273</v>
          </cell>
          <cell r="I1261" t="str">
            <v>גין מהנדסים בע"מ</v>
          </cell>
          <cell r="J1261">
            <v>7</v>
          </cell>
          <cell r="K1261" t="str">
            <v>₪</v>
          </cell>
          <cell r="L1261">
            <v>100</v>
          </cell>
          <cell r="M1261" t="str">
            <v>יח'</v>
          </cell>
          <cell r="N1261">
            <v>700</v>
          </cell>
        </row>
        <row r="1262">
          <cell r="B1262" t="str">
            <v>MS51831-204 ACME</v>
          </cell>
          <cell r="C1262">
            <v>39736</v>
          </cell>
          <cell r="D1262">
            <v>1</v>
          </cell>
          <cell r="E1262" t="str">
            <v>קשיח</v>
          </cell>
          <cell r="F1262" t="str">
            <v>01.0273</v>
          </cell>
          <cell r="G1262">
            <v>45694</v>
          </cell>
          <cell r="H1262" t="str">
            <v>01.0273</v>
          </cell>
          <cell r="I1262" t="str">
            <v>גין מהנדסים בע"מ</v>
          </cell>
          <cell r="J1262">
            <v>7</v>
          </cell>
          <cell r="K1262" t="str">
            <v>₪</v>
          </cell>
          <cell r="L1262">
            <v>120</v>
          </cell>
          <cell r="M1262" t="str">
            <v>יח'</v>
          </cell>
          <cell r="N1262">
            <v>840</v>
          </cell>
        </row>
        <row r="1263">
          <cell r="B1263" t="str">
            <v>MS51831-204 ACME</v>
          </cell>
          <cell r="C1263">
            <v>36244</v>
          </cell>
          <cell r="D1263">
            <v>1</v>
          </cell>
          <cell r="E1263" t="str">
            <v>קשיח</v>
          </cell>
          <cell r="F1263" t="str">
            <v>01.0273</v>
          </cell>
          <cell r="G1263">
            <v>45316</v>
          </cell>
          <cell r="H1263" t="str">
            <v>01.0273</v>
          </cell>
          <cell r="I1263" t="str">
            <v>גין מהנדסים בע"מ</v>
          </cell>
          <cell r="J1263">
            <v>7</v>
          </cell>
          <cell r="K1263" t="str">
            <v>₪</v>
          </cell>
          <cell r="L1263">
            <v>160</v>
          </cell>
          <cell r="M1263" t="str">
            <v>יח'</v>
          </cell>
          <cell r="N1263">
            <v>1120</v>
          </cell>
        </row>
        <row r="1264">
          <cell r="B1264" t="str">
            <v>MS51831-204 ACME</v>
          </cell>
          <cell r="C1264">
            <v>35942</v>
          </cell>
          <cell r="D1264">
            <v>1</v>
          </cell>
          <cell r="E1264" t="str">
            <v>קשיח</v>
          </cell>
          <cell r="F1264" t="str">
            <v>01.0273</v>
          </cell>
          <cell r="G1264">
            <v>45286</v>
          </cell>
          <cell r="H1264" t="str">
            <v>01.0273</v>
          </cell>
          <cell r="I1264" t="str">
            <v>לוונשטיין טכנולוגיות בע"מ</v>
          </cell>
          <cell r="J1264">
            <v>5</v>
          </cell>
          <cell r="K1264" t="str">
            <v>₪</v>
          </cell>
          <cell r="M1264" t="str">
            <v>יח'</v>
          </cell>
        </row>
        <row r="1265">
          <cell r="B1265" t="str">
            <v>MS51831-204 ACME</v>
          </cell>
          <cell r="C1265">
            <v>28040</v>
          </cell>
          <cell r="D1265">
            <v>1</v>
          </cell>
          <cell r="E1265" t="str">
            <v>קשיח</v>
          </cell>
          <cell r="F1265" t="str">
            <v>01.0273</v>
          </cell>
          <cell r="G1265">
            <v>44222</v>
          </cell>
          <cell r="H1265" t="str">
            <v>01.0273</v>
          </cell>
          <cell r="I1265" t="str">
            <v>גין מהנדסים בע"מ</v>
          </cell>
          <cell r="J1265">
            <v>5</v>
          </cell>
          <cell r="K1265" t="str">
            <v>₪</v>
          </cell>
          <cell r="L1265">
            <v>700</v>
          </cell>
          <cell r="M1265" t="str">
            <v>יח'</v>
          </cell>
          <cell r="N1265">
            <v>3500</v>
          </cell>
        </row>
        <row r="1266">
          <cell r="B1266" t="str">
            <v>MS51831-204</v>
          </cell>
          <cell r="C1266">
            <v>26149</v>
          </cell>
          <cell r="D1266">
            <v>1</v>
          </cell>
          <cell r="E1266" t="str">
            <v>קשיח</v>
          </cell>
          <cell r="F1266" t="str">
            <v>01.0273</v>
          </cell>
          <cell r="G1266">
            <v>43963</v>
          </cell>
          <cell r="H1266" t="str">
            <v>01.0273</v>
          </cell>
          <cell r="I1266" t="str">
            <v>ברמיל בע"מ</v>
          </cell>
          <cell r="J1266">
            <v>6.57</v>
          </cell>
          <cell r="K1266" t="str">
            <v>₪</v>
          </cell>
          <cell r="L1266">
            <v>40</v>
          </cell>
          <cell r="M1266" t="str">
            <v>יח'</v>
          </cell>
          <cell r="N1266">
            <v>262.8</v>
          </cell>
        </row>
        <row r="1267">
          <cell r="B1267" t="str">
            <v>MS51831-208</v>
          </cell>
          <cell r="C1267">
            <v>41865</v>
          </cell>
          <cell r="D1267">
            <v>1</v>
          </cell>
          <cell r="E1267" t="str">
            <v>קשיח</v>
          </cell>
          <cell r="F1267" t="str">
            <v>01.0274</v>
          </cell>
          <cell r="G1267">
            <v>45887</v>
          </cell>
          <cell r="H1267" t="str">
            <v>01.0274</v>
          </cell>
          <cell r="I1267" t="str">
            <v>לוונשטיין טכנולוגיות בע"מ</v>
          </cell>
          <cell r="J1267">
            <v>24</v>
          </cell>
          <cell r="K1267" t="str">
            <v>₪</v>
          </cell>
          <cell r="L1267">
            <v>10</v>
          </cell>
          <cell r="M1267" t="str">
            <v>יח'</v>
          </cell>
          <cell r="N1267">
            <v>240</v>
          </cell>
        </row>
        <row r="1268">
          <cell r="B1268" t="str">
            <v>MS21209CO215L</v>
          </cell>
          <cell r="C1268">
            <v>41393</v>
          </cell>
          <cell r="D1268">
            <v>1</v>
          </cell>
          <cell r="E1268" t="str">
            <v>קשיח</v>
          </cell>
          <cell r="F1268" t="str">
            <v>01.0275</v>
          </cell>
          <cell r="G1268">
            <v>45844</v>
          </cell>
          <cell r="H1268" t="str">
            <v>01.0275</v>
          </cell>
          <cell r="I1268" t="str">
            <v>דר טכנולוגיות בע"מ</v>
          </cell>
          <cell r="J1268">
            <v>0.99360000000000004</v>
          </cell>
          <cell r="K1268" t="str">
            <v>₪</v>
          </cell>
          <cell r="M1268" t="str">
            <v>יח'</v>
          </cell>
        </row>
        <row r="1269">
          <cell r="B1269" t="str">
            <v>MS21209CO215L</v>
          </cell>
          <cell r="C1269">
            <v>41311</v>
          </cell>
          <cell r="D1269">
            <v>1</v>
          </cell>
          <cell r="E1269" t="str">
            <v>קשיח</v>
          </cell>
          <cell r="F1269" t="str">
            <v>01.0275</v>
          </cell>
          <cell r="G1269">
            <v>45838</v>
          </cell>
          <cell r="H1269" t="str">
            <v>01.0275</v>
          </cell>
          <cell r="I1269" t="str">
            <v>דר טכנולוגיות בע"מ</v>
          </cell>
          <cell r="J1269">
            <v>1</v>
          </cell>
          <cell r="K1269" t="str">
            <v>₪</v>
          </cell>
          <cell r="L1269">
            <v>100</v>
          </cell>
          <cell r="M1269" t="str">
            <v>יח'</v>
          </cell>
          <cell r="N1269">
            <v>100</v>
          </cell>
        </row>
        <row r="1270">
          <cell r="B1270" t="str">
            <v>MS51831-104</v>
          </cell>
          <cell r="C1270">
            <v>9060</v>
          </cell>
          <cell r="D1270">
            <v>1</v>
          </cell>
          <cell r="E1270" t="str">
            <v>קשיח</v>
          </cell>
          <cell r="F1270" t="str">
            <v>01.0278</v>
          </cell>
          <cell r="G1270">
            <v>42177</v>
          </cell>
          <cell r="H1270" t="str">
            <v>01.0278</v>
          </cell>
          <cell r="I1270" t="str">
            <v>גין מהנדסים בע"מ</v>
          </cell>
          <cell r="J1270">
            <v>0</v>
          </cell>
          <cell r="K1270" t="str">
            <v>₪</v>
          </cell>
          <cell r="M1270" t="str">
            <v>יח'</v>
          </cell>
        </row>
        <row r="1271">
          <cell r="B1271" t="str">
            <v>MS51831-104</v>
          </cell>
          <cell r="C1271">
            <v>40173</v>
          </cell>
          <cell r="D1271">
            <v>1</v>
          </cell>
          <cell r="E1271" t="str">
            <v>קשיח</v>
          </cell>
          <cell r="F1271" t="str">
            <v>01.0279</v>
          </cell>
          <cell r="G1271">
            <v>45732</v>
          </cell>
          <cell r="H1271" t="str">
            <v>01.0279</v>
          </cell>
          <cell r="I1271" t="str">
            <v>לוונשטיין טכנולוגיות בע"מ</v>
          </cell>
          <cell r="J1271">
            <v>7.6</v>
          </cell>
          <cell r="K1271" t="str">
            <v>₪</v>
          </cell>
          <cell r="L1271">
            <v>150</v>
          </cell>
          <cell r="M1271" t="str">
            <v>יח'</v>
          </cell>
          <cell r="N1271">
            <v>1140</v>
          </cell>
        </row>
        <row r="1272">
          <cell r="B1272" t="str">
            <v>MS51831-104</v>
          </cell>
          <cell r="C1272">
            <v>35892</v>
          </cell>
          <cell r="D1272">
            <v>2</v>
          </cell>
          <cell r="E1272" t="str">
            <v>קשיח</v>
          </cell>
          <cell r="F1272" t="str">
            <v>01.0279</v>
          </cell>
          <cell r="G1272">
            <v>45281</v>
          </cell>
          <cell r="H1272" t="str">
            <v>01.0279</v>
          </cell>
          <cell r="I1272" t="str">
            <v>לוונשטיין טכנולוגיות בע"מ</v>
          </cell>
          <cell r="J1272">
            <v>8</v>
          </cell>
          <cell r="K1272" t="str">
            <v>₪</v>
          </cell>
          <cell r="L1272">
            <v>200</v>
          </cell>
          <cell r="M1272" t="str">
            <v>יח'</v>
          </cell>
          <cell r="N1272">
            <v>1600</v>
          </cell>
        </row>
        <row r="1273">
          <cell r="B1273" t="str">
            <v>MS51831-104</v>
          </cell>
          <cell r="C1273">
            <v>34397</v>
          </cell>
          <cell r="D1273">
            <v>1</v>
          </cell>
          <cell r="E1273" t="str">
            <v>קשיח</v>
          </cell>
          <cell r="F1273" t="str">
            <v>01.0279</v>
          </cell>
          <cell r="G1273">
            <v>45111</v>
          </cell>
          <cell r="H1273" t="str">
            <v>01.0279</v>
          </cell>
          <cell r="I1273" t="str">
            <v>גין מהנדסים בע"מ</v>
          </cell>
          <cell r="J1273">
            <v>0</v>
          </cell>
          <cell r="K1273" t="str">
            <v>₪</v>
          </cell>
          <cell r="M1273" t="str">
            <v>יח'</v>
          </cell>
        </row>
        <row r="1274">
          <cell r="B1274" t="str">
            <v>MS51831-104</v>
          </cell>
          <cell r="C1274">
            <v>34344</v>
          </cell>
          <cell r="D1274">
            <v>1</v>
          </cell>
          <cell r="E1274" t="str">
            <v>קשיח</v>
          </cell>
          <cell r="F1274" t="str">
            <v>01.0279</v>
          </cell>
          <cell r="G1274">
            <v>45105</v>
          </cell>
          <cell r="H1274" t="str">
            <v>01.0279</v>
          </cell>
          <cell r="I1274" t="str">
            <v>לוונשטיין טכנולוגיות בע"מ</v>
          </cell>
          <cell r="J1274">
            <v>7.8</v>
          </cell>
          <cell r="K1274" t="str">
            <v>₪</v>
          </cell>
          <cell r="L1274">
            <v>150</v>
          </cell>
          <cell r="M1274" t="str">
            <v>יח'</v>
          </cell>
          <cell r="N1274">
            <v>1170</v>
          </cell>
        </row>
        <row r="1275">
          <cell r="B1275" t="str">
            <v>MS51831-104</v>
          </cell>
          <cell r="C1275">
            <v>24689</v>
          </cell>
          <cell r="D1275">
            <v>1</v>
          </cell>
          <cell r="E1275" t="str">
            <v>קשיח</v>
          </cell>
          <cell r="F1275" t="str">
            <v>01.0279</v>
          </cell>
          <cell r="G1275">
            <v>43720</v>
          </cell>
          <cell r="H1275" t="str">
            <v>01.0279</v>
          </cell>
          <cell r="I1275" t="str">
            <v>גין מהנדסים בע"מ</v>
          </cell>
          <cell r="J1275">
            <v>7.2</v>
          </cell>
          <cell r="K1275" t="str">
            <v>₪</v>
          </cell>
          <cell r="L1275">
            <v>100</v>
          </cell>
          <cell r="M1275" t="str">
            <v>יח'</v>
          </cell>
          <cell r="N1275">
            <v>720</v>
          </cell>
        </row>
        <row r="1276">
          <cell r="B1276" t="str">
            <v>MS51831-104</v>
          </cell>
          <cell r="C1276">
            <v>23246</v>
          </cell>
          <cell r="D1276">
            <v>1</v>
          </cell>
          <cell r="E1276" t="str">
            <v>קשיח</v>
          </cell>
          <cell r="F1276" t="str">
            <v>01.0279</v>
          </cell>
          <cell r="G1276">
            <v>43541</v>
          </cell>
          <cell r="H1276" t="str">
            <v>01.0279</v>
          </cell>
          <cell r="I1276" t="str">
            <v>ברמיל בע"מ</v>
          </cell>
          <cell r="J1276">
            <v>7.8</v>
          </cell>
          <cell r="K1276" t="str">
            <v>₪</v>
          </cell>
          <cell r="L1276">
            <v>100</v>
          </cell>
          <cell r="M1276" t="str">
            <v>יח'</v>
          </cell>
          <cell r="N1276">
            <v>780</v>
          </cell>
        </row>
        <row r="1277">
          <cell r="B1277" t="str">
            <v>M2.5*0.45-1D /MA3279-101</v>
          </cell>
          <cell r="C1277">
            <v>39369</v>
          </cell>
          <cell r="D1277">
            <v>1</v>
          </cell>
          <cell r="E1277" t="str">
            <v>קשיח</v>
          </cell>
          <cell r="F1277" t="str">
            <v>01.0283</v>
          </cell>
          <cell r="G1277">
            <v>45662</v>
          </cell>
          <cell r="H1277" t="str">
            <v>01.0283</v>
          </cell>
          <cell r="I1277" t="str">
            <v>לוונשטיין טכנולוגיות בע"מ</v>
          </cell>
          <cell r="J1277">
            <v>0.52</v>
          </cell>
          <cell r="K1277" t="str">
            <v>₪</v>
          </cell>
          <cell r="L1277">
            <v>1000</v>
          </cell>
          <cell r="M1277" t="str">
            <v>יח'</v>
          </cell>
          <cell r="N1277">
            <v>520</v>
          </cell>
        </row>
        <row r="1278">
          <cell r="B1278" t="str">
            <v>M2.5*0.45-1D /MA3279-101</v>
          </cell>
          <cell r="C1278">
            <v>38100</v>
          </cell>
          <cell r="D1278">
            <v>1</v>
          </cell>
          <cell r="E1278" t="str">
            <v>קשיח</v>
          </cell>
          <cell r="F1278" t="str">
            <v>01.0283</v>
          </cell>
          <cell r="G1278">
            <v>45524</v>
          </cell>
          <cell r="H1278" t="str">
            <v>01.0283</v>
          </cell>
          <cell r="I1278" t="str">
            <v>לוונשטיין טכנולוגיות בע"מ</v>
          </cell>
          <cell r="J1278">
            <v>0.52</v>
          </cell>
          <cell r="K1278" t="str">
            <v>₪</v>
          </cell>
          <cell r="L1278">
            <v>1000</v>
          </cell>
          <cell r="M1278" t="str">
            <v>יח'</v>
          </cell>
          <cell r="N1278">
            <v>520</v>
          </cell>
        </row>
        <row r="1279">
          <cell r="B1279" t="str">
            <v>M2.5*0.45-1D /MA3279-101</v>
          </cell>
          <cell r="C1279">
            <v>29459</v>
          </cell>
          <cell r="D1279">
            <v>3</v>
          </cell>
          <cell r="E1279" t="str">
            <v>קשיח</v>
          </cell>
          <cell r="F1279" t="str">
            <v>01.0283</v>
          </cell>
          <cell r="G1279">
            <v>44409</v>
          </cell>
          <cell r="H1279" t="str">
            <v>01.0283</v>
          </cell>
          <cell r="I1279" t="str">
            <v>לוונשטיין טכנולוגיות</v>
          </cell>
          <cell r="J1279">
            <v>0.55000000000000004</v>
          </cell>
          <cell r="K1279" t="str">
            <v>₪</v>
          </cell>
          <cell r="L1279">
            <v>1000</v>
          </cell>
          <cell r="M1279" t="str">
            <v>יח'</v>
          </cell>
          <cell r="N1279">
            <v>550</v>
          </cell>
        </row>
        <row r="1280">
          <cell r="B1280" t="str">
            <v>MS21209CO0420L</v>
          </cell>
          <cell r="C1280">
            <v>34417</v>
          </cell>
          <cell r="D1280">
            <v>1</v>
          </cell>
          <cell r="E1280" t="str">
            <v>קשיח</v>
          </cell>
          <cell r="F1280" t="str">
            <v>01.0285</v>
          </cell>
          <cell r="G1280">
            <v>45113</v>
          </cell>
          <cell r="H1280" t="str">
            <v>01.0285</v>
          </cell>
          <cell r="I1280" t="str">
            <v>גין מהנדסים בע"מ</v>
          </cell>
          <cell r="J1280">
            <v>2.1</v>
          </cell>
          <cell r="K1280" t="str">
            <v>₪</v>
          </cell>
          <cell r="L1280">
            <v>500</v>
          </cell>
          <cell r="M1280" t="str">
            <v>יח'</v>
          </cell>
          <cell r="N1280">
            <v>1050</v>
          </cell>
        </row>
        <row r="1281">
          <cell r="B1281" t="str">
            <v>MS21209CO0420L</v>
          </cell>
          <cell r="C1281">
            <v>31341</v>
          </cell>
          <cell r="D1281">
            <v>1</v>
          </cell>
          <cell r="E1281" t="str">
            <v>קשיח</v>
          </cell>
          <cell r="F1281" t="str">
            <v>01.0285</v>
          </cell>
          <cell r="G1281">
            <v>44665</v>
          </cell>
          <cell r="H1281" t="str">
            <v>01.0285</v>
          </cell>
          <cell r="I1281" t="str">
            <v>גין מהנדסים בע"מ</v>
          </cell>
          <cell r="J1281">
            <v>2.1</v>
          </cell>
          <cell r="K1281" t="str">
            <v>₪</v>
          </cell>
          <cell r="L1281">
            <v>500</v>
          </cell>
          <cell r="M1281" t="str">
            <v>יח'</v>
          </cell>
          <cell r="N1281">
            <v>1050</v>
          </cell>
        </row>
        <row r="1282">
          <cell r="B1282" t="str">
            <v>MS21209CO0420L</v>
          </cell>
          <cell r="C1282">
            <v>30691</v>
          </cell>
          <cell r="D1282">
            <v>1</v>
          </cell>
          <cell r="E1282" t="str">
            <v>קשיח</v>
          </cell>
          <cell r="F1282" t="str">
            <v>01.0285</v>
          </cell>
          <cell r="G1282">
            <v>44579</v>
          </cell>
          <cell r="H1282" t="str">
            <v>01.0285</v>
          </cell>
          <cell r="I1282" t="str">
            <v>גין מהנדסים בע"מ</v>
          </cell>
          <cell r="J1282">
            <v>2.1</v>
          </cell>
          <cell r="K1282" t="str">
            <v>₪</v>
          </cell>
          <cell r="L1282">
            <v>200</v>
          </cell>
          <cell r="M1282" t="str">
            <v>יח'</v>
          </cell>
          <cell r="N1282">
            <v>420</v>
          </cell>
        </row>
        <row r="1283">
          <cell r="B1283" t="str">
            <v>MS21209CO0420L</v>
          </cell>
          <cell r="C1283">
            <v>29810</v>
          </cell>
          <cell r="D1283">
            <v>1</v>
          </cell>
          <cell r="E1283" t="str">
            <v>קשיח</v>
          </cell>
          <cell r="F1283" t="str">
            <v>01.0285</v>
          </cell>
          <cell r="G1283">
            <v>44465</v>
          </cell>
          <cell r="H1283" t="str">
            <v>01.0285</v>
          </cell>
          <cell r="I1283" t="str">
            <v>גין מהנדסים בע"מ</v>
          </cell>
          <cell r="J1283">
            <v>2.1</v>
          </cell>
          <cell r="K1283" t="str">
            <v>₪</v>
          </cell>
          <cell r="L1283">
            <v>200</v>
          </cell>
          <cell r="M1283" t="str">
            <v>יח'</v>
          </cell>
          <cell r="N1283">
            <v>420</v>
          </cell>
        </row>
        <row r="1284">
          <cell r="B1284" t="str">
            <v>MS21209CO0420L</v>
          </cell>
          <cell r="C1284">
            <v>27859</v>
          </cell>
          <cell r="D1284">
            <v>2</v>
          </cell>
          <cell r="E1284" t="str">
            <v>קשיח</v>
          </cell>
          <cell r="F1284" t="str">
            <v>01.0285</v>
          </cell>
          <cell r="G1284">
            <v>44194</v>
          </cell>
          <cell r="H1284" t="str">
            <v>01.0285</v>
          </cell>
          <cell r="I1284" t="str">
            <v>גין מהנדסים בע"מ</v>
          </cell>
          <cell r="J1284">
            <v>2.1</v>
          </cell>
          <cell r="K1284" t="str">
            <v>₪</v>
          </cell>
          <cell r="L1284">
            <v>100</v>
          </cell>
          <cell r="M1284" t="str">
            <v>יח'</v>
          </cell>
          <cell r="N1284">
            <v>210</v>
          </cell>
        </row>
        <row r="1285">
          <cell r="B1285" t="str">
            <v>MS21209CO0420L</v>
          </cell>
          <cell r="C1285">
            <v>25620</v>
          </cell>
          <cell r="D1285">
            <v>1</v>
          </cell>
          <cell r="E1285" t="str">
            <v>קשיח</v>
          </cell>
          <cell r="F1285" t="str">
            <v>01.0285</v>
          </cell>
          <cell r="G1285">
            <v>43873</v>
          </cell>
          <cell r="H1285" t="str">
            <v>01.0285</v>
          </cell>
          <cell r="I1285" t="str">
            <v>גין מהנדסים בע"מ</v>
          </cell>
          <cell r="J1285">
            <v>2.1</v>
          </cell>
          <cell r="K1285" t="str">
            <v>₪</v>
          </cell>
          <cell r="L1285">
            <v>70</v>
          </cell>
          <cell r="M1285" t="str">
            <v>יח'</v>
          </cell>
          <cell r="N1285">
            <v>147</v>
          </cell>
        </row>
        <row r="1286">
          <cell r="B1286" t="str">
            <v>MS21209CO0420L</v>
          </cell>
          <cell r="C1286">
            <v>23956</v>
          </cell>
          <cell r="D1286">
            <v>1</v>
          </cell>
          <cell r="E1286" t="str">
            <v>קשיח</v>
          </cell>
          <cell r="F1286" t="str">
            <v>01.0285</v>
          </cell>
          <cell r="G1286">
            <v>43627</v>
          </cell>
          <cell r="H1286" t="str">
            <v>01.0285</v>
          </cell>
          <cell r="I1286" t="str">
            <v>גין מהנדסים בע"מ</v>
          </cell>
          <cell r="J1286">
            <v>2.1</v>
          </cell>
          <cell r="K1286" t="str">
            <v>₪</v>
          </cell>
          <cell r="L1286">
            <v>200</v>
          </cell>
          <cell r="M1286" t="str">
            <v>יח'</v>
          </cell>
          <cell r="N1286">
            <v>420</v>
          </cell>
        </row>
        <row r="1287">
          <cell r="B1287" t="str">
            <v>MS21209CO615L BULLHOFF</v>
          </cell>
          <cell r="C1287">
            <v>36466</v>
          </cell>
          <cell r="D1287">
            <v>1</v>
          </cell>
          <cell r="E1287" t="str">
            <v>קשיח</v>
          </cell>
          <cell r="F1287" t="str">
            <v>01.0286</v>
          </cell>
          <cell r="G1287">
            <v>45341</v>
          </cell>
          <cell r="H1287" t="str">
            <v>01.0286</v>
          </cell>
          <cell r="I1287" t="str">
            <v>לוונשטיין טכנולוגיות בע"מ</v>
          </cell>
          <cell r="J1287">
            <v>1.1000000000000001</v>
          </cell>
          <cell r="K1287" t="str">
            <v>₪</v>
          </cell>
          <cell r="L1287">
            <v>2000</v>
          </cell>
          <cell r="M1287" t="str">
            <v>יח'</v>
          </cell>
          <cell r="N1287">
            <v>2200</v>
          </cell>
        </row>
        <row r="1288">
          <cell r="B1288" t="str">
            <v>MS21209CO615L</v>
          </cell>
          <cell r="C1288">
            <v>34178</v>
          </cell>
          <cell r="D1288">
            <v>1</v>
          </cell>
          <cell r="E1288" t="str">
            <v>קשיח</v>
          </cell>
          <cell r="F1288" t="str">
            <v>01.0286</v>
          </cell>
          <cell r="G1288">
            <v>45089</v>
          </cell>
          <cell r="H1288" t="str">
            <v>01.0286</v>
          </cell>
          <cell r="I1288" t="str">
            <v>גין מהנדסים בע"מ</v>
          </cell>
          <cell r="J1288">
            <v>1.75</v>
          </cell>
          <cell r="K1288" t="str">
            <v>₪</v>
          </cell>
          <cell r="L1288">
            <v>100</v>
          </cell>
          <cell r="M1288" t="str">
            <v>יח'</v>
          </cell>
          <cell r="N1288">
            <v>175</v>
          </cell>
        </row>
        <row r="1289">
          <cell r="B1289" t="str">
            <v>MS21209CO615L</v>
          </cell>
          <cell r="C1289">
            <v>31061</v>
          </cell>
          <cell r="D1289">
            <v>1</v>
          </cell>
          <cell r="E1289" t="str">
            <v>קשיח</v>
          </cell>
          <cell r="F1289" t="str">
            <v>01.0286</v>
          </cell>
          <cell r="G1289">
            <v>44629</v>
          </cell>
          <cell r="H1289" t="str">
            <v>01.0286</v>
          </cell>
          <cell r="I1289" t="str">
            <v>לוונשטיין טכנולוגיות בע"מ</v>
          </cell>
          <cell r="J1289">
            <v>1.2</v>
          </cell>
          <cell r="K1289" t="str">
            <v>₪</v>
          </cell>
          <cell r="L1289">
            <v>300</v>
          </cell>
          <cell r="M1289" t="str">
            <v>יח'</v>
          </cell>
          <cell r="N1289">
            <v>360</v>
          </cell>
        </row>
        <row r="1290">
          <cell r="B1290" t="str">
            <v>MS21209CO615L</v>
          </cell>
          <cell r="C1290">
            <v>27520</v>
          </cell>
          <cell r="D1290">
            <v>1</v>
          </cell>
          <cell r="E1290" t="str">
            <v>קשיח</v>
          </cell>
          <cell r="F1290" t="str">
            <v>01.0286</v>
          </cell>
          <cell r="G1290">
            <v>44151</v>
          </cell>
          <cell r="H1290" t="str">
            <v>01.0286</v>
          </cell>
          <cell r="I1290" t="str">
            <v>גין מהנדסים בע"מ</v>
          </cell>
          <cell r="J1290">
            <v>0.85</v>
          </cell>
          <cell r="K1290" t="str">
            <v>₪</v>
          </cell>
          <cell r="L1290">
            <v>300</v>
          </cell>
          <cell r="M1290" t="str">
            <v>יח'</v>
          </cell>
          <cell r="N1290">
            <v>255</v>
          </cell>
        </row>
        <row r="1291">
          <cell r="B1291" t="str">
            <v>MS21209F1-15L</v>
          </cell>
          <cell r="C1291">
            <v>30873</v>
          </cell>
          <cell r="D1291">
            <v>1</v>
          </cell>
          <cell r="E1291" t="str">
            <v>קשיח</v>
          </cell>
          <cell r="F1291" t="str">
            <v>01.0287</v>
          </cell>
          <cell r="G1291">
            <v>44602</v>
          </cell>
          <cell r="H1291" t="str">
            <v>01.0287</v>
          </cell>
          <cell r="I1291" t="str">
            <v>דר טכנולוגיות בע"מ</v>
          </cell>
          <cell r="J1291">
            <v>1</v>
          </cell>
          <cell r="K1291" t="str">
            <v>₪</v>
          </cell>
          <cell r="L1291">
            <v>200</v>
          </cell>
          <cell r="M1291" t="str">
            <v>יח'</v>
          </cell>
          <cell r="N1291">
            <v>200</v>
          </cell>
        </row>
        <row r="1292">
          <cell r="B1292" t="str">
            <v>MS21209F1-15L</v>
          </cell>
          <cell r="C1292">
            <v>29089</v>
          </cell>
          <cell r="D1292">
            <v>1</v>
          </cell>
          <cell r="E1292" t="str">
            <v>קשיח</v>
          </cell>
          <cell r="F1292" t="str">
            <v>01.0287</v>
          </cell>
          <cell r="G1292">
            <v>44363</v>
          </cell>
          <cell r="H1292" t="str">
            <v>01.0287</v>
          </cell>
          <cell r="I1292" t="str">
            <v>דר טכנולוגיות בע"מ</v>
          </cell>
          <cell r="J1292">
            <v>0.95</v>
          </cell>
          <cell r="K1292" t="str">
            <v>₪</v>
          </cell>
          <cell r="L1292">
            <v>500</v>
          </cell>
          <cell r="M1292" t="str">
            <v>יח'</v>
          </cell>
          <cell r="N1292">
            <v>475</v>
          </cell>
        </row>
        <row r="1293">
          <cell r="B1293" t="str">
            <v>MS21209F1-15L</v>
          </cell>
          <cell r="C1293">
            <v>24582</v>
          </cell>
          <cell r="D1293">
            <v>1</v>
          </cell>
          <cell r="E1293" t="str">
            <v>קשיח</v>
          </cell>
          <cell r="F1293" t="str">
            <v>01.0287</v>
          </cell>
          <cell r="G1293">
            <v>43704</v>
          </cell>
          <cell r="H1293" t="str">
            <v>01.0287</v>
          </cell>
          <cell r="I1293" t="str">
            <v>דר טכנולוגיות בע"מ</v>
          </cell>
          <cell r="J1293">
            <v>0.75</v>
          </cell>
          <cell r="K1293" t="str">
            <v>₪</v>
          </cell>
          <cell r="L1293">
            <v>500</v>
          </cell>
          <cell r="M1293" t="str">
            <v>יח'</v>
          </cell>
          <cell r="N1293">
            <v>375</v>
          </cell>
        </row>
        <row r="1294">
          <cell r="B1294" t="str">
            <v>MS51831-204L</v>
          </cell>
          <cell r="C1294">
            <v>40558</v>
          </cell>
          <cell r="D1294">
            <v>1</v>
          </cell>
          <cell r="E1294" t="str">
            <v>קשיח</v>
          </cell>
          <cell r="F1294" t="str">
            <v>01.0290</v>
          </cell>
          <cell r="G1294">
            <v>45763</v>
          </cell>
          <cell r="H1294" t="str">
            <v>01.0290</v>
          </cell>
          <cell r="I1294" t="str">
            <v>גין מהנדסים בע"מ</v>
          </cell>
          <cell r="J1294">
            <v>9.6999999999999993</v>
          </cell>
          <cell r="K1294" t="str">
            <v>₪</v>
          </cell>
          <cell r="L1294">
            <v>58</v>
          </cell>
          <cell r="M1294" t="str">
            <v>יח'</v>
          </cell>
          <cell r="N1294">
            <v>562.59999999999991</v>
          </cell>
        </row>
        <row r="1295">
          <cell r="B1295" t="str">
            <v>MS51831-204L</v>
          </cell>
          <cell r="C1295">
            <v>38438</v>
          </cell>
          <cell r="D1295">
            <v>1</v>
          </cell>
          <cell r="E1295" t="str">
            <v>קשיח</v>
          </cell>
          <cell r="F1295" t="str">
            <v>01.0290</v>
          </cell>
          <cell r="G1295">
            <v>45561</v>
          </cell>
          <cell r="H1295" t="str">
            <v>01.0290</v>
          </cell>
          <cell r="I1295" t="str">
            <v>גין מהנדסים בע"מ</v>
          </cell>
          <cell r="J1295">
            <v>9.6999999999999993</v>
          </cell>
          <cell r="K1295" t="str">
            <v>₪</v>
          </cell>
          <cell r="L1295">
            <v>135</v>
          </cell>
          <cell r="M1295" t="str">
            <v>יח'</v>
          </cell>
          <cell r="N1295">
            <v>1309.5</v>
          </cell>
        </row>
        <row r="1296">
          <cell r="B1296" t="str">
            <v>MS122175</v>
          </cell>
          <cell r="C1296">
            <v>42138</v>
          </cell>
          <cell r="D1296">
            <v>1</v>
          </cell>
          <cell r="E1296" t="str">
            <v>קשיח</v>
          </cell>
          <cell r="F1296" t="str">
            <v>01.0293</v>
          </cell>
          <cell r="G1296">
            <v>45917</v>
          </cell>
          <cell r="H1296" t="str">
            <v>01.0293</v>
          </cell>
          <cell r="I1296" t="str">
            <v>דר טכנולוגיות בע"מ</v>
          </cell>
          <cell r="J1296">
            <v>0.48</v>
          </cell>
          <cell r="K1296" t="str">
            <v>₪</v>
          </cell>
          <cell r="L1296">
            <v>1000</v>
          </cell>
          <cell r="M1296" t="str">
            <v>יח'</v>
          </cell>
          <cell r="N1296">
            <v>480</v>
          </cell>
        </row>
        <row r="1297">
          <cell r="B1297" t="str">
            <v>MS122175</v>
          </cell>
          <cell r="C1297">
            <v>37340</v>
          </cell>
          <cell r="D1297">
            <v>1</v>
          </cell>
          <cell r="E1297" t="str">
            <v>קשיח</v>
          </cell>
          <cell r="F1297" t="str">
            <v>01.0293</v>
          </cell>
          <cell r="G1297">
            <v>45442</v>
          </cell>
          <cell r="H1297" t="str">
            <v>01.0293</v>
          </cell>
          <cell r="I1297" t="str">
            <v>דר טכנולוגיות בע"מ</v>
          </cell>
          <cell r="J1297">
            <v>0.48</v>
          </cell>
          <cell r="K1297" t="str">
            <v>₪</v>
          </cell>
          <cell r="L1297">
            <v>500</v>
          </cell>
          <cell r="M1297" t="str">
            <v>יח'</v>
          </cell>
          <cell r="N1297">
            <v>240</v>
          </cell>
        </row>
        <row r="1298">
          <cell r="B1298" t="str">
            <v>MS122175</v>
          </cell>
          <cell r="C1298">
            <v>37027</v>
          </cell>
          <cell r="D1298">
            <v>1</v>
          </cell>
          <cell r="E1298" t="str">
            <v>קשיח</v>
          </cell>
          <cell r="F1298" t="str">
            <v>01.0293</v>
          </cell>
          <cell r="G1298">
            <v>45407</v>
          </cell>
          <cell r="H1298" t="str">
            <v>01.0293</v>
          </cell>
          <cell r="I1298" t="str">
            <v>דר טכנולוגיות בע"מ</v>
          </cell>
          <cell r="J1298">
            <v>0.48</v>
          </cell>
          <cell r="K1298" t="str">
            <v>₪</v>
          </cell>
          <cell r="L1298">
            <v>5000</v>
          </cell>
          <cell r="M1298" t="str">
            <v>יח'</v>
          </cell>
          <cell r="N1298">
            <v>2400</v>
          </cell>
        </row>
        <row r="1299">
          <cell r="B1299" t="str">
            <v>MS122175</v>
          </cell>
          <cell r="C1299">
            <v>27556</v>
          </cell>
          <cell r="D1299">
            <v>2</v>
          </cell>
          <cell r="E1299" t="str">
            <v>קשיח</v>
          </cell>
          <cell r="F1299" t="str">
            <v>01.0293</v>
          </cell>
          <cell r="G1299">
            <v>44154</v>
          </cell>
          <cell r="H1299" t="str">
            <v>01.0293</v>
          </cell>
          <cell r="I1299" t="str">
            <v>דר טכנולוגיות בע"מ</v>
          </cell>
          <cell r="J1299">
            <v>0.45</v>
          </cell>
          <cell r="K1299" t="str">
            <v>₪</v>
          </cell>
          <cell r="L1299">
            <v>1000</v>
          </cell>
          <cell r="M1299" t="str">
            <v>יח'</v>
          </cell>
          <cell r="N1299">
            <v>450</v>
          </cell>
        </row>
        <row r="1300">
          <cell r="B1300" t="str">
            <v>M2*1.5d</v>
          </cell>
          <cell r="C1300">
            <v>27169</v>
          </cell>
          <cell r="D1300">
            <v>1</v>
          </cell>
          <cell r="E1300" t="str">
            <v>קשיח</v>
          </cell>
          <cell r="F1300" t="str">
            <v>01.0303</v>
          </cell>
          <cell r="G1300">
            <v>44098</v>
          </cell>
          <cell r="H1300" t="str">
            <v>01.0303</v>
          </cell>
          <cell r="I1300" t="str">
            <v>גין מהנדסים בע"מ</v>
          </cell>
          <cell r="J1300">
            <v>0.35</v>
          </cell>
          <cell r="K1300" t="str">
            <v>₪</v>
          </cell>
          <cell r="L1300">
            <v>500</v>
          </cell>
          <cell r="M1300" t="str">
            <v>יח'</v>
          </cell>
          <cell r="N1300">
            <v>175</v>
          </cell>
        </row>
        <row r="1301">
          <cell r="B1301" t="str">
            <v>M2*1.5d</v>
          </cell>
          <cell r="C1301">
            <v>27138</v>
          </cell>
          <cell r="D1301">
            <v>1</v>
          </cell>
          <cell r="E1301" t="str">
            <v>קשיח</v>
          </cell>
          <cell r="F1301" t="str">
            <v>01.0303</v>
          </cell>
          <cell r="G1301">
            <v>44096</v>
          </cell>
          <cell r="H1301" t="str">
            <v>01.0303</v>
          </cell>
          <cell r="I1301" t="str">
            <v>לוונשטיין טכנולוגיות</v>
          </cell>
          <cell r="J1301">
            <v>0.5</v>
          </cell>
          <cell r="K1301" t="str">
            <v>₪</v>
          </cell>
          <cell r="L1301">
            <v>500</v>
          </cell>
          <cell r="M1301" t="str">
            <v>יח'</v>
          </cell>
          <cell r="N1301">
            <v>250</v>
          </cell>
        </row>
        <row r="1302">
          <cell r="B1302" t="str">
            <v>מנדרל - מוט הברגה עם  מצמד 6-32 STANLY</v>
          </cell>
          <cell r="C1302">
            <v>39749</v>
          </cell>
          <cell r="D1302">
            <v>5</v>
          </cell>
          <cell r="E1302" t="str">
            <v>קשיח</v>
          </cell>
          <cell r="F1302" t="str">
            <v>01.0308</v>
          </cell>
          <cell r="G1302">
            <v>45697</v>
          </cell>
          <cell r="H1302" t="str">
            <v>01.0308</v>
          </cell>
          <cell r="I1302" t="str">
            <v>לוונשטיין טכנולוגיות בע"מ</v>
          </cell>
          <cell r="J1302">
            <v>367.5</v>
          </cell>
          <cell r="K1302" t="str">
            <v>₪</v>
          </cell>
          <cell r="L1302">
            <v>2</v>
          </cell>
          <cell r="M1302" t="str">
            <v>יח'</v>
          </cell>
          <cell r="N1302">
            <v>735</v>
          </cell>
        </row>
        <row r="1303">
          <cell r="B1303" t="str">
            <v>מנדרל - מוט הברגה עם  מצמד 6-32 STANLY</v>
          </cell>
          <cell r="C1303">
            <v>38324</v>
          </cell>
          <cell r="D1303">
            <v>2</v>
          </cell>
          <cell r="E1303" t="str">
            <v>קשיח</v>
          </cell>
          <cell r="F1303" t="str">
            <v>01.0308</v>
          </cell>
          <cell r="G1303">
            <v>45550</v>
          </cell>
          <cell r="H1303" t="str">
            <v>01.0308</v>
          </cell>
          <cell r="I1303" t="str">
            <v>לוונשטיין טכנולוגיות בע"מ</v>
          </cell>
          <cell r="J1303">
            <v>375</v>
          </cell>
          <cell r="K1303" t="str">
            <v>₪</v>
          </cell>
          <cell r="L1303">
            <v>2</v>
          </cell>
          <cell r="M1303" t="str">
            <v>יח'</v>
          </cell>
          <cell r="N1303">
            <v>750</v>
          </cell>
        </row>
        <row r="1304">
          <cell r="B1304" t="str">
            <v>מנדרל - מוט הברגה עם  מצמד 6-32 STANLY</v>
          </cell>
          <cell r="C1304">
            <v>35082</v>
          </cell>
          <cell r="D1304">
            <v>4</v>
          </cell>
          <cell r="E1304" t="str">
            <v>קשיח</v>
          </cell>
          <cell r="F1304" t="str">
            <v>01.0308</v>
          </cell>
          <cell r="G1304">
            <v>45180</v>
          </cell>
          <cell r="H1304" t="str">
            <v>01.0308</v>
          </cell>
          <cell r="I1304" t="str">
            <v>דר טכנולוגיות בע"מ</v>
          </cell>
          <cell r="J1304">
            <v>500</v>
          </cell>
          <cell r="K1304" t="str">
            <v>₪</v>
          </cell>
          <cell r="L1304">
            <v>3</v>
          </cell>
          <cell r="M1304" t="str">
            <v>יח'</v>
          </cell>
          <cell r="N1304">
            <v>1500</v>
          </cell>
        </row>
        <row r="1305">
          <cell r="B1305" t="str">
            <v>מנדרל - מוט הברגה עם  מצמד 6-32 STANLY</v>
          </cell>
          <cell r="C1305">
            <v>34939</v>
          </cell>
          <cell r="D1305">
            <v>1</v>
          </cell>
          <cell r="E1305" t="str">
            <v>קשיח</v>
          </cell>
          <cell r="F1305" t="str">
            <v>01.0308</v>
          </cell>
          <cell r="G1305">
            <v>45166</v>
          </cell>
          <cell r="H1305" t="str">
            <v>01.0308</v>
          </cell>
          <cell r="I1305" t="str">
            <v>דר טכנולוגיות בע"מ</v>
          </cell>
          <cell r="J1305">
            <v>500</v>
          </cell>
          <cell r="K1305" t="str">
            <v>₪</v>
          </cell>
          <cell r="L1305">
            <v>2</v>
          </cell>
          <cell r="M1305" t="str">
            <v>יח'</v>
          </cell>
          <cell r="N1305">
            <v>1000</v>
          </cell>
        </row>
        <row r="1306">
          <cell r="B1306" t="str">
            <v>מנדרל - מוט הברגה עם  מצמד 6-32 STANLY</v>
          </cell>
          <cell r="C1306">
            <v>34667</v>
          </cell>
          <cell r="D1306">
            <v>1</v>
          </cell>
          <cell r="E1306" t="str">
            <v>קשיח</v>
          </cell>
          <cell r="F1306" t="str">
            <v>01.0308</v>
          </cell>
          <cell r="G1306">
            <v>45137</v>
          </cell>
          <cell r="H1306" t="str">
            <v>01.0308</v>
          </cell>
          <cell r="I1306" t="str">
            <v>דר טכנולוגיות בע"מ</v>
          </cell>
          <cell r="J1306">
            <v>450</v>
          </cell>
          <cell r="K1306" t="str">
            <v>₪</v>
          </cell>
          <cell r="L1306">
            <v>2</v>
          </cell>
          <cell r="M1306" t="str">
            <v>יח'</v>
          </cell>
          <cell r="N1306">
            <v>900</v>
          </cell>
        </row>
        <row r="1307">
          <cell r="B1307" t="str">
            <v>מנדרל - מוט הברגה עם  מצמד 6-32 STANLY</v>
          </cell>
          <cell r="C1307">
            <v>27139</v>
          </cell>
          <cell r="D1307">
            <v>1</v>
          </cell>
          <cell r="E1307" t="str">
            <v>קשיח</v>
          </cell>
          <cell r="F1307" t="str">
            <v>01.0308</v>
          </cell>
          <cell r="G1307">
            <v>44096</v>
          </cell>
          <cell r="H1307" t="str">
            <v>01.0308</v>
          </cell>
          <cell r="I1307" t="str">
            <v>דר טכנולוגיות בע"מ</v>
          </cell>
          <cell r="J1307">
            <v>400</v>
          </cell>
          <cell r="K1307" t="str">
            <v>₪</v>
          </cell>
          <cell r="L1307">
            <v>2</v>
          </cell>
          <cell r="M1307" t="str">
            <v>יח'</v>
          </cell>
          <cell r="N1307">
            <v>800</v>
          </cell>
        </row>
        <row r="1308">
          <cell r="B1308" t="str">
            <v>מנדרל - מוט הברגה עם  מצמד 4-40 STANLY</v>
          </cell>
          <cell r="C1308">
            <v>42796</v>
          </cell>
          <cell r="D1308">
            <v>2</v>
          </cell>
          <cell r="E1308" t="str">
            <v>קשיח</v>
          </cell>
          <cell r="F1308" t="str">
            <v>01.0309</v>
          </cell>
          <cell r="G1308">
            <v>45985</v>
          </cell>
          <cell r="H1308" t="str">
            <v>01.0309</v>
          </cell>
          <cell r="I1308" t="str">
            <v>לוונשטיין טכנולוגיות בע"מ</v>
          </cell>
          <cell r="J1308">
            <v>375</v>
          </cell>
          <cell r="K1308" t="str">
            <v>₪</v>
          </cell>
          <cell r="L1308">
            <v>2</v>
          </cell>
          <cell r="M1308" t="str">
            <v>יח'</v>
          </cell>
          <cell r="N1308">
            <v>750</v>
          </cell>
        </row>
        <row r="1309">
          <cell r="B1309" t="str">
            <v>מנדרל - מוט הברגה עם  מצמד 4-40 STANLY</v>
          </cell>
          <cell r="C1309">
            <v>40165</v>
          </cell>
          <cell r="D1309">
            <v>1</v>
          </cell>
          <cell r="E1309" t="str">
            <v>קשיח</v>
          </cell>
          <cell r="F1309" t="str">
            <v>01.0309</v>
          </cell>
          <cell r="G1309">
            <v>45732</v>
          </cell>
          <cell r="H1309" t="str">
            <v>01.0309</v>
          </cell>
          <cell r="I1309" t="str">
            <v>לוונשטיין טכנולוגיות בע"מ</v>
          </cell>
          <cell r="J1309">
            <v>375</v>
          </cell>
          <cell r="K1309" t="str">
            <v>₪</v>
          </cell>
          <cell r="M1309" t="str">
            <v>יח'</v>
          </cell>
        </row>
        <row r="1310">
          <cell r="B1310" t="str">
            <v>מנדרל - מוט הברגה עם  מצמד 4-40 STANLY</v>
          </cell>
          <cell r="C1310">
            <v>38765</v>
          </cell>
          <cell r="D1310">
            <v>1</v>
          </cell>
          <cell r="E1310" t="str">
            <v>קשיח</v>
          </cell>
          <cell r="F1310" t="str">
            <v>01.0309</v>
          </cell>
          <cell r="G1310">
            <v>45607</v>
          </cell>
          <cell r="H1310" t="str">
            <v>01.0309</v>
          </cell>
          <cell r="I1310" t="str">
            <v>לוונשטיין טכנולוגיות בע"מ</v>
          </cell>
          <cell r="J1310">
            <v>375</v>
          </cell>
          <cell r="K1310" t="str">
            <v>₪</v>
          </cell>
          <cell r="L1310">
            <v>10</v>
          </cell>
          <cell r="M1310" t="str">
            <v>יח'</v>
          </cell>
          <cell r="N1310">
            <v>3750</v>
          </cell>
        </row>
        <row r="1311">
          <cell r="B1311" t="str">
            <v>מנדרל - מוט הברגה עם  מצמד 4-40 STANLY</v>
          </cell>
          <cell r="C1311">
            <v>38562</v>
          </cell>
          <cell r="D1311">
            <v>4</v>
          </cell>
          <cell r="E1311" t="str">
            <v>קשיח</v>
          </cell>
          <cell r="F1311" t="str">
            <v>01.0309</v>
          </cell>
          <cell r="G1311">
            <v>45579</v>
          </cell>
          <cell r="H1311" t="str">
            <v>01.0309</v>
          </cell>
          <cell r="I1311" t="str">
            <v>לוונשטיין טכנולוגיות בע"מ</v>
          </cell>
          <cell r="J1311">
            <v>375</v>
          </cell>
          <cell r="K1311" t="str">
            <v>₪</v>
          </cell>
          <cell r="L1311">
            <v>3</v>
          </cell>
          <cell r="M1311" t="str">
            <v>יח'</v>
          </cell>
          <cell r="N1311">
            <v>1125</v>
          </cell>
        </row>
        <row r="1312">
          <cell r="B1312" t="str">
            <v>מנדרל - מוט הברגה עם  מצמד 4-40 STANLY</v>
          </cell>
          <cell r="C1312">
            <v>38324</v>
          </cell>
          <cell r="D1312">
            <v>1</v>
          </cell>
          <cell r="E1312" t="str">
            <v>קשיח</v>
          </cell>
          <cell r="F1312" t="str">
            <v>01.0309</v>
          </cell>
          <cell r="G1312">
            <v>45550</v>
          </cell>
          <cell r="H1312" t="str">
            <v>01.0309</v>
          </cell>
          <cell r="I1312" t="str">
            <v>לוונשטיין טכנולוגיות בע"מ</v>
          </cell>
          <cell r="J1312">
            <v>375</v>
          </cell>
          <cell r="K1312" t="str">
            <v>₪</v>
          </cell>
          <cell r="L1312">
            <v>2</v>
          </cell>
          <cell r="M1312" t="str">
            <v>יח'</v>
          </cell>
          <cell r="N1312">
            <v>750</v>
          </cell>
        </row>
        <row r="1313">
          <cell r="B1313" t="str">
            <v>מנדרל - מוט הברגה עם  מצמד 4-40 STANLY</v>
          </cell>
          <cell r="C1313">
            <v>35082</v>
          </cell>
          <cell r="D1313">
            <v>5</v>
          </cell>
          <cell r="E1313" t="str">
            <v>קשיח</v>
          </cell>
          <cell r="F1313" t="str">
            <v>01.0309</v>
          </cell>
          <cell r="G1313">
            <v>45180</v>
          </cell>
          <cell r="H1313" t="str">
            <v>01.0309</v>
          </cell>
          <cell r="I1313" t="str">
            <v>דר טכנולוגיות בע"מ</v>
          </cell>
          <cell r="J1313">
            <v>500</v>
          </cell>
          <cell r="K1313" t="str">
            <v>₪</v>
          </cell>
          <cell r="L1313">
            <v>3</v>
          </cell>
          <cell r="M1313" t="str">
            <v>יח'</v>
          </cell>
          <cell r="N1313">
            <v>1500</v>
          </cell>
        </row>
        <row r="1314">
          <cell r="B1314" t="str">
            <v>מנדרל - מוט הברגה עם  מצמד 4-40 STANLY</v>
          </cell>
          <cell r="C1314">
            <v>32627</v>
          </cell>
          <cell r="D1314">
            <v>1</v>
          </cell>
          <cell r="E1314" t="str">
            <v>קשיח</v>
          </cell>
          <cell r="F1314" t="str">
            <v>01.0309</v>
          </cell>
          <cell r="G1314">
            <v>44858</v>
          </cell>
          <cell r="H1314" t="str">
            <v>01.0309</v>
          </cell>
          <cell r="I1314" t="str">
            <v>דר טכנולוגיות בע"מ</v>
          </cell>
          <cell r="J1314">
            <v>500</v>
          </cell>
          <cell r="K1314" t="str">
            <v>₪</v>
          </cell>
          <cell r="L1314">
            <v>2</v>
          </cell>
          <cell r="M1314" t="str">
            <v>יח'</v>
          </cell>
          <cell r="N1314">
            <v>1000</v>
          </cell>
        </row>
        <row r="1315">
          <cell r="B1315" t="str">
            <v>מנדרל - מוט הברגה עם  מצמד 4-40 STANLY</v>
          </cell>
          <cell r="C1315">
            <v>27557</v>
          </cell>
          <cell r="D1315">
            <v>1</v>
          </cell>
          <cell r="E1315" t="str">
            <v>קשיח</v>
          </cell>
          <cell r="F1315" t="str">
            <v>01.0309</v>
          </cell>
          <cell r="G1315">
            <v>44154</v>
          </cell>
          <cell r="H1315" t="str">
            <v>01.0309</v>
          </cell>
          <cell r="I1315" t="str">
            <v>דר טכנולוגיות בע"מ</v>
          </cell>
          <cell r="J1315">
            <v>400</v>
          </cell>
          <cell r="K1315" t="str">
            <v>₪</v>
          </cell>
          <cell r="L1315">
            <v>3</v>
          </cell>
          <cell r="M1315" t="str">
            <v>יח'</v>
          </cell>
          <cell r="N1315">
            <v>1200</v>
          </cell>
        </row>
        <row r="1316">
          <cell r="B1316" t="str">
            <v>מנדרל למכונה - מוט הברגה עם  מצמד 4-40</v>
          </cell>
          <cell r="C1316">
            <v>23536</v>
          </cell>
          <cell r="D1316">
            <v>3</v>
          </cell>
          <cell r="E1316" t="str">
            <v>קשיח</v>
          </cell>
          <cell r="F1316" t="str">
            <v>01.0309</v>
          </cell>
          <cell r="G1316">
            <v>43577</v>
          </cell>
          <cell r="H1316" t="str">
            <v>01.0309</v>
          </cell>
          <cell r="I1316" t="str">
            <v>דר טכנולוגיות בע"מ</v>
          </cell>
          <cell r="J1316">
            <v>300</v>
          </cell>
          <cell r="K1316" t="str">
            <v>₪</v>
          </cell>
          <cell r="L1316">
            <v>2</v>
          </cell>
          <cell r="M1316" t="str">
            <v>יח'</v>
          </cell>
          <cell r="N1316">
            <v>600</v>
          </cell>
        </row>
        <row r="1317">
          <cell r="B1317" t="str">
            <v>מנדרל - מוט הברגה עם  מצמד 2-56 STANLY</v>
          </cell>
          <cell r="C1317">
            <v>40138</v>
          </cell>
          <cell r="D1317">
            <v>1</v>
          </cell>
          <cell r="E1317" t="str">
            <v>קשיח</v>
          </cell>
          <cell r="F1317" t="str">
            <v>01.0310</v>
          </cell>
          <cell r="G1317">
            <v>45727</v>
          </cell>
          <cell r="H1317" t="str">
            <v>01.0310</v>
          </cell>
          <cell r="I1317" t="str">
            <v>לוונשטיין טכנולוגיות בע"מ</v>
          </cell>
          <cell r="J1317">
            <v>380</v>
          </cell>
          <cell r="K1317" t="str">
            <v>₪</v>
          </cell>
          <cell r="L1317">
            <v>5</v>
          </cell>
          <cell r="M1317" t="str">
            <v>יח'</v>
          </cell>
          <cell r="N1317">
            <v>1900</v>
          </cell>
        </row>
        <row r="1318">
          <cell r="B1318" t="str">
            <v>מנדרל - מוט הברגה עם  מצמד 2-56 STANLY</v>
          </cell>
          <cell r="C1318">
            <v>39240</v>
          </cell>
          <cell r="D1318">
            <v>2</v>
          </cell>
          <cell r="E1318" t="str">
            <v>קשיח</v>
          </cell>
          <cell r="F1318" t="str">
            <v>01.0310</v>
          </cell>
          <cell r="G1318">
            <v>45649</v>
          </cell>
          <cell r="H1318" t="str">
            <v>01.0310</v>
          </cell>
          <cell r="I1318" t="str">
            <v>לוונשטיין טכנולוגיות בע"מ</v>
          </cell>
          <cell r="J1318">
            <v>380</v>
          </cell>
          <cell r="K1318" t="str">
            <v>₪</v>
          </cell>
          <cell r="L1318">
            <v>5</v>
          </cell>
          <cell r="M1318" t="str">
            <v>יח'</v>
          </cell>
          <cell r="N1318">
            <v>1900</v>
          </cell>
        </row>
        <row r="1319">
          <cell r="B1319" t="str">
            <v>מנדרל - מוט הברגה עם  מצמד 2-56 STANLY</v>
          </cell>
          <cell r="C1319">
            <v>38937</v>
          </cell>
          <cell r="D1319">
            <v>2</v>
          </cell>
          <cell r="E1319" t="str">
            <v>קשיח</v>
          </cell>
          <cell r="F1319" t="str">
            <v>01.0310</v>
          </cell>
          <cell r="G1319">
            <v>45622</v>
          </cell>
          <cell r="H1319" t="str">
            <v>01.0310</v>
          </cell>
          <cell r="I1319" t="str">
            <v>לוונשטיין טכנולוגיות בע"מ</v>
          </cell>
          <cell r="J1319">
            <v>380</v>
          </cell>
          <cell r="K1319" t="str">
            <v>₪</v>
          </cell>
          <cell r="L1319">
            <v>2</v>
          </cell>
          <cell r="M1319" t="str">
            <v>יח'</v>
          </cell>
          <cell r="N1319">
            <v>760</v>
          </cell>
        </row>
        <row r="1320">
          <cell r="B1320" t="str">
            <v>מנדרל - מוט הברגה עם  מצמד 2-56 STANLY</v>
          </cell>
          <cell r="C1320">
            <v>32627</v>
          </cell>
          <cell r="D1320">
            <v>2</v>
          </cell>
          <cell r="E1320" t="str">
            <v>קשיח</v>
          </cell>
          <cell r="F1320" t="str">
            <v>01.0310</v>
          </cell>
          <cell r="G1320">
            <v>44858</v>
          </cell>
          <cell r="H1320" t="str">
            <v>01.0310</v>
          </cell>
          <cell r="I1320" t="str">
            <v>דר טכנולוגיות בע"מ</v>
          </cell>
          <cell r="J1320">
            <v>500</v>
          </cell>
          <cell r="K1320" t="str">
            <v>₪</v>
          </cell>
          <cell r="L1320">
            <v>2</v>
          </cell>
          <cell r="M1320" t="str">
            <v>יח'</v>
          </cell>
          <cell r="N1320">
            <v>1000</v>
          </cell>
        </row>
        <row r="1321">
          <cell r="B1321" t="str">
            <v>מנדרל - מוט הברגה עם  מצמד 2-56 STANLY</v>
          </cell>
          <cell r="C1321">
            <v>31790</v>
          </cell>
          <cell r="D1321">
            <v>1</v>
          </cell>
          <cell r="E1321" t="str">
            <v>קשיח</v>
          </cell>
          <cell r="F1321" t="str">
            <v>01.0310</v>
          </cell>
          <cell r="G1321">
            <v>44728</v>
          </cell>
          <cell r="H1321" t="str">
            <v>01.0310</v>
          </cell>
          <cell r="I1321" t="str">
            <v>דר טכנולוגיות בע"מ</v>
          </cell>
          <cell r="J1321">
            <v>450</v>
          </cell>
          <cell r="K1321" t="str">
            <v>₪</v>
          </cell>
          <cell r="L1321">
            <v>2</v>
          </cell>
          <cell r="M1321" t="str">
            <v>יח'</v>
          </cell>
          <cell r="N1321">
            <v>900</v>
          </cell>
        </row>
        <row r="1322">
          <cell r="B1322" t="str">
            <v>מנדרל - מוט הברגה עם  מצמד 2-56</v>
          </cell>
          <cell r="C1322">
            <v>28915</v>
          </cell>
          <cell r="D1322">
            <v>2</v>
          </cell>
          <cell r="E1322" t="str">
            <v>קשיח</v>
          </cell>
          <cell r="F1322" t="str">
            <v>01.0310</v>
          </cell>
          <cell r="G1322">
            <v>44340</v>
          </cell>
          <cell r="H1322" t="str">
            <v>01.0310</v>
          </cell>
          <cell r="I1322" t="str">
            <v>לוונשטיין טכנולוגיות</v>
          </cell>
          <cell r="J1322">
            <v>215</v>
          </cell>
          <cell r="K1322" t="str">
            <v>₪</v>
          </cell>
          <cell r="L1322">
            <v>1</v>
          </cell>
          <cell r="M1322" t="str">
            <v>יח'</v>
          </cell>
          <cell r="N1322">
            <v>215</v>
          </cell>
        </row>
        <row r="1323">
          <cell r="B1323" t="str">
            <v>מנדרל - מוט הברגה עם  מצמד 2-56 STANLY</v>
          </cell>
          <cell r="C1323">
            <v>27911</v>
          </cell>
          <cell r="D1323">
            <v>2</v>
          </cell>
          <cell r="E1323" t="str">
            <v>קשיח</v>
          </cell>
          <cell r="F1323" t="str">
            <v>01.0310</v>
          </cell>
          <cell r="G1323">
            <v>44201</v>
          </cell>
          <cell r="H1323" t="str">
            <v>01.0310</v>
          </cell>
          <cell r="I1323" t="str">
            <v>דר טכנולוגיות בע"מ</v>
          </cell>
          <cell r="J1323">
            <v>400</v>
          </cell>
          <cell r="K1323" t="str">
            <v>₪</v>
          </cell>
          <cell r="L1323">
            <v>3</v>
          </cell>
          <cell r="M1323" t="str">
            <v>יח'</v>
          </cell>
          <cell r="N1323">
            <v>1200</v>
          </cell>
        </row>
        <row r="1324">
          <cell r="B1324" t="str">
            <v>מנדרל - מוט הברגה עם  מצמד 2-56 STANLY</v>
          </cell>
          <cell r="C1324">
            <v>27139</v>
          </cell>
          <cell r="D1324">
            <v>2</v>
          </cell>
          <cell r="E1324" t="str">
            <v>קשיח</v>
          </cell>
          <cell r="F1324" t="str">
            <v>01.0310</v>
          </cell>
          <cell r="G1324">
            <v>44096</v>
          </cell>
          <cell r="H1324" t="str">
            <v>01.0310</v>
          </cell>
          <cell r="I1324" t="str">
            <v>דר טכנולוגיות בע"מ</v>
          </cell>
          <cell r="J1324">
            <v>400</v>
          </cell>
          <cell r="K1324" t="str">
            <v>₪</v>
          </cell>
          <cell r="L1324">
            <v>2</v>
          </cell>
          <cell r="M1324" t="str">
            <v>יח'</v>
          </cell>
          <cell r="N1324">
            <v>800</v>
          </cell>
        </row>
        <row r="1325">
          <cell r="B1325" t="str">
            <v>מנדרל - מוט הברגה עם  מצמד M4</v>
          </cell>
          <cell r="C1325">
            <v>35082</v>
          </cell>
          <cell r="D1325">
            <v>3</v>
          </cell>
          <cell r="E1325" t="str">
            <v>קשיח</v>
          </cell>
          <cell r="F1325" t="str">
            <v>01.0311</v>
          </cell>
          <cell r="G1325">
            <v>45180</v>
          </cell>
          <cell r="H1325" t="str">
            <v>01.0311</v>
          </cell>
          <cell r="I1325" t="str">
            <v>דר טכנולוגיות בע"מ</v>
          </cell>
          <cell r="J1325">
            <v>430</v>
          </cell>
          <cell r="K1325" t="str">
            <v>₪</v>
          </cell>
          <cell r="L1325">
            <v>3</v>
          </cell>
          <cell r="M1325" t="str">
            <v>יח'</v>
          </cell>
          <cell r="N1325">
            <v>1290</v>
          </cell>
        </row>
        <row r="1326">
          <cell r="B1326" t="str">
            <v>מנדרל - מוט הברגה עם  מצמד M4</v>
          </cell>
          <cell r="C1326">
            <v>34939</v>
          </cell>
          <cell r="D1326">
            <v>2</v>
          </cell>
          <cell r="E1326" t="str">
            <v>קשיח</v>
          </cell>
          <cell r="F1326" t="str">
            <v>01.0311</v>
          </cell>
          <cell r="G1326">
            <v>45166</v>
          </cell>
          <cell r="H1326" t="str">
            <v>01.0311</v>
          </cell>
          <cell r="I1326" t="str">
            <v>דר טכנולוגיות בע"מ</v>
          </cell>
          <cell r="J1326">
            <v>430</v>
          </cell>
          <cell r="K1326" t="str">
            <v>₪</v>
          </cell>
          <cell r="L1326">
            <v>3</v>
          </cell>
          <cell r="M1326" t="str">
            <v>יח'</v>
          </cell>
          <cell r="N1326">
            <v>1290</v>
          </cell>
        </row>
        <row r="1327">
          <cell r="B1327" t="str">
            <v>מנדרל - מוט הברגה עם  מצמד M4</v>
          </cell>
          <cell r="C1327">
            <v>29672</v>
          </cell>
          <cell r="D1327">
            <v>1</v>
          </cell>
          <cell r="E1327" t="str">
            <v>קשיח</v>
          </cell>
          <cell r="F1327" t="str">
            <v>01.0311</v>
          </cell>
          <cell r="G1327">
            <v>44439</v>
          </cell>
          <cell r="H1327" t="str">
            <v>01.0311</v>
          </cell>
          <cell r="I1327" t="str">
            <v>לוונשטיין טכנולוגיות</v>
          </cell>
          <cell r="J1327">
            <v>150</v>
          </cell>
          <cell r="K1327" t="str">
            <v>₪</v>
          </cell>
          <cell r="L1327">
            <v>2</v>
          </cell>
          <cell r="M1327" t="str">
            <v>יח'</v>
          </cell>
          <cell r="N1327">
            <v>300</v>
          </cell>
        </row>
        <row r="1328">
          <cell r="B1328" t="str">
            <v>מנדרל למכונה  - מוט הברגה עם  מצמד M2.5</v>
          </cell>
          <cell r="C1328">
            <v>24206</v>
          </cell>
          <cell r="D1328">
            <v>1</v>
          </cell>
          <cell r="E1328" t="str">
            <v>קשיח</v>
          </cell>
          <cell r="F1328" t="str">
            <v>01.0312</v>
          </cell>
          <cell r="G1328">
            <v>43655</v>
          </cell>
          <cell r="H1328" t="str">
            <v>01.0312</v>
          </cell>
          <cell r="I1328" t="str">
            <v>לוונשטיין טכנולוגיות</v>
          </cell>
          <cell r="J1328">
            <v>190</v>
          </cell>
          <cell r="K1328" t="str">
            <v>₪</v>
          </cell>
          <cell r="L1328">
            <v>2</v>
          </cell>
          <cell r="M1328" t="str">
            <v>יח'</v>
          </cell>
          <cell r="N1328">
            <v>380</v>
          </cell>
        </row>
        <row r="1329">
          <cell r="B1329" t="str">
            <v>כלי החדרה ידני מנואלה  NC8-32</v>
          </cell>
          <cell r="C1329">
            <v>39749</v>
          </cell>
          <cell r="D1329">
            <v>7</v>
          </cell>
          <cell r="E1329" t="str">
            <v>קשיח</v>
          </cell>
          <cell r="F1329" t="str">
            <v>01.0316</v>
          </cell>
          <cell r="G1329">
            <v>45697</v>
          </cell>
          <cell r="H1329" t="str">
            <v>01.0316</v>
          </cell>
          <cell r="I1329" t="str">
            <v>לוונשטיין טכנולוגיות בע"מ</v>
          </cell>
          <cell r="J1329">
            <v>367.5</v>
          </cell>
          <cell r="K1329" t="str">
            <v>₪</v>
          </cell>
          <cell r="L1329">
            <v>2</v>
          </cell>
          <cell r="M1329" t="str">
            <v>יח'</v>
          </cell>
          <cell r="N1329">
            <v>735</v>
          </cell>
        </row>
        <row r="1330">
          <cell r="B1330" t="str">
            <v>כלי החדרה ידני מנואלה  NC8-32</v>
          </cell>
          <cell r="C1330">
            <v>39749</v>
          </cell>
          <cell r="D1330">
            <v>23</v>
          </cell>
          <cell r="E1330" t="str">
            <v>קשיח</v>
          </cell>
          <cell r="F1330" t="str">
            <v>01.0316</v>
          </cell>
          <cell r="G1330">
            <v>45697</v>
          </cell>
          <cell r="H1330" t="str">
            <v>01.0316</v>
          </cell>
          <cell r="I1330" t="str">
            <v>לוונשטיין טכנולוגיות בע"מ</v>
          </cell>
          <cell r="J1330">
            <v>372.4</v>
          </cell>
          <cell r="K1330" t="str">
            <v>₪</v>
          </cell>
          <cell r="L1330">
            <v>2</v>
          </cell>
          <cell r="M1330" t="str">
            <v>יח'</v>
          </cell>
          <cell r="N1330">
            <v>744.8</v>
          </cell>
        </row>
        <row r="1331">
          <cell r="B1331" t="str">
            <v>כלי החדרה ידני מנואלה  NC8-32</v>
          </cell>
          <cell r="C1331">
            <v>38570</v>
          </cell>
          <cell r="D1331">
            <v>5</v>
          </cell>
          <cell r="E1331" t="str">
            <v>קשיח</v>
          </cell>
          <cell r="F1331" t="str">
            <v>01.0316</v>
          </cell>
          <cell r="G1331">
            <v>45579</v>
          </cell>
          <cell r="H1331" t="str">
            <v>01.0316</v>
          </cell>
          <cell r="I1331" t="str">
            <v>לוונשטיין טכנולוגיות בע"מ</v>
          </cell>
          <cell r="J1331">
            <v>345</v>
          </cell>
          <cell r="K1331" t="str">
            <v>₪</v>
          </cell>
          <cell r="L1331">
            <v>2</v>
          </cell>
          <cell r="M1331" t="str">
            <v>יח'</v>
          </cell>
          <cell r="N1331">
            <v>690</v>
          </cell>
        </row>
        <row r="1332">
          <cell r="B1332" t="str">
            <v>כלי החדרה ידני מנואלה NC6-32</v>
          </cell>
          <cell r="C1332">
            <v>39749</v>
          </cell>
          <cell r="D1332">
            <v>22</v>
          </cell>
          <cell r="E1332" t="str">
            <v>קשיח</v>
          </cell>
          <cell r="F1332" t="str">
            <v>01.0317</v>
          </cell>
          <cell r="G1332">
            <v>45697</v>
          </cell>
          <cell r="H1332" t="str">
            <v>01.0317</v>
          </cell>
          <cell r="I1332" t="str">
            <v>לוונשטיין טכנולוגיות בע"מ</v>
          </cell>
          <cell r="J1332">
            <v>372.4</v>
          </cell>
          <cell r="K1332" t="str">
            <v>₪</v>
          </cell>
          <cell r="L1332">
            <v>2</v>
          </cell>
          <cell r="M1332" t="str">
            <v>יח'</v>
          </cell>
          <cell r="N1332">
            <v>744.8</v>
          </cell>
        </row>
        <row r="1333">
          <cell r="B1333" t="str">
            <v>כלי החדרה ידני מנואלה NC6-32</v>
          </cell>
          <cell r="C1333">
            <v>38570</v>
          </cell>
          <cell r="D1333">
            <v>4</v>
          </cell>
          <cell r="E1333" t="str">
            <v>קשיח</v>
          </cell>
          <cell r="F1333" t="str">
            <v>01.0317</v>
          </cell>
          <cell r="G1333">
            <v>45579</v>
          </cell>
          <cell r="H1333" t="str">
            <v>01.0317</v>
          </cell>
          <cell r="I1333" t="str">
            <v>לוונשטיין טכנולוגיות בע"מ</v>
          </cell>
          <cell r="J1333">
            <v>345</v>
          </cell>
          <cell r="K1333" t="str">
            <v>₪</v>
          </cell>
          <cell r="L1333">
            <v>2</v>
          </cell>
          <cell r="M1333" t="str">
            <v>יח'</v>
          </cell>
          <cell r="N1333">
            <v>690</v>
          </cell>
        </row>
        <row r="1334">
          <cell r="B1334" t="str">
            <v>כלי החדרה ידני מנואלה 4-40</v>
          </cell>
          <cell r="C1334">
            <v>40226</v>
          </cell>
          <cell r="D1334">
            <v>1</v>
          </cell>
          <cell r="E1334" t="str">
            <v>קשיח</v>
          </cell>
          <cell r="F1334" t="str">
            <v>01.0318</v>
          </cell>
          <cell r="G1334">
            <v>45735</v>
          </cell>
          <cell r="H1334" t="str">
            <v>01.0318</v>
          </cell>
          <cell r="I1334" t="str">
            <v>לוונשטיין טכנולוגיות בע"מ</v>
          </cell>
          <cell r="J1334">
            <v>372.4</v>
          </cell>
          <cell r="K1334" t="str">
            <v>₪</v>
          </cell>
          <cell r="L1334">
            <v>3</v>
          </cell>
          <cell r="M1334" t="str">
            <v>יח'</v>
          </cell>
          <cell r="N1334">
            <v>1117.1999999999998</v>
          </cell>
        </row>
        <row r="1335">
          <cell r="B1335" t="str">
            <v>כלי החדרה ידני מנואלה 4-40</v>
          </cell>
          <cell r="C1335">
            <v>39749</v>
          </cell>
          <cell r="D1335">
            <v>21</v>
          </cell>
          <cell r="E1335" t="str">
            <v>קשיח</v>
          </cell>
          <cell r="F1335" t="str">
            <v>01.0318</v>
          </cell>
          <cell r="G1335">
            <v>45697</v>
          </cell>
          <cell r="H1335" t="str">
            <v>01.0318</v>
          </cell>
          <cell r="I1335" t="str">
            <v>לוונשטיין טכנולוגיות בע"מ</v>
          </cell>
          <cell r="J1335">
            <v>372.4</v>
          </cell>
          <cell r="K1335" t="str">
            <v>₪</v>
          </cell>
          <cell r="L1335">
            <v>2</v>
          </cell>
          <cell r="M1335" t="str">
            <v>יח'</v>
          </cell>
          <cell r="N1335">
            <v>744.8</v>
          </cell>
        </row>
        <row r="1336">
          <cell r="B1336" t="str">
            <v>כלי החדרה ידני מנואלה 4-40</v>
          </cell>
          <cell r="C1336">
            <v>38562</v>
          </cell>
          <cell r="D1336">
            <v>1</v>
          </cell>
          <cell r="E1336" t="str">
            <v>קשיח</v>
          </cell>
          <cell r="F1336" t="str">
            <v>01.0318</v>
          </cell>
          <cell r="G1336">
            <v>45579</v>
          </cell>
          <cell r="H1336" t="str">
            <v>01.0318</v>
          </cell>
          <cell r="I1336" t="str">
            <v>לוונשטיין טכנולוגיות בע"מ</v>
          </cell>
          <cell r="J1336">
            <v>320</v>
          </cell>
          <cell r="K1336" t="str">
            <v>₪</v>
          </cell>
          <cell r="L1336">
            <v>2</v>
          </cell>
          <cell r="M1336" t="str">
            <v>יח'</v>
          </cell>
          <cell r="N1336">
            <v>640</v>
          </cell>
        </row>
        <row r="1337">
          <cell r="B1337" t="str">
            <v>LOCKTITE 238</v>
          </cell>
          <cell r="C1337">
            <v>30162</v>
          </cell>
          <cell r="D1337">
            <v>1</v>
          </cell>
          <cell r="E1337" t="str">
            <v>קשיח</v>
          </cell>
          <cell r="F1337" t="str">
            <v>01.0320</v>
          </cell>
          <cell r="G1337">
            <v>44510</v>
          </cell>
          <cell r="H1337" t="str">
            <v>01.0320</v>
          </cell>
          <cell r="I1337" t="str">
            <v>מאור גבריאלי הספקה ט</v>
          </cell>
          <cell r="J1337">
            <v>0</v>
          </cell>
          <cell r="K1337" t="str">
            <v>₪</v>
          </cell>
          <cell r="M1337" t="str">
            <v>יח'</v>
          </cell>
        </row>
        <row r="1338">
          <cell r="B1338" t="str">
            <v>MS51830-105L</v>
          </cell>
          <cell r="C1338">
            <v>32883</v>
          </cell>
          <cell r="D1338">
            <v>1</v>
          </cell>
          <cell r="E1338" t="str">
            <v>קשיח</v>
          </cell>
          <cell r="F1338" t="str">
            <v>01.0323</v>
          </cell>
          <cell r="G1338">
            <v>44893</v>
          </cell>
          <cell r="H1338" t="str">
            <v>01.0323</v>
          </cell>
          <cell r="I1338" t="str">
            <v>לוונשטיין טכנולוגיות בע"מ</v>
          </cell>
          <cell r="J1338">
            <v>6.8</v>
          </cell>
          <cell r="K1338" t="str">
            <v>₪</v>
          </cell>
          <cell r="L1338">
            <v>20</v>
          </cell>
          <cell r="M1338" t="str">
            <v>יח'</v>
          </cell>
          <cell r="N1338">
            <v>136</v>
          </cell>
        </row>
        <row r="1339">
          <cell r="B1339" t="str">
            <v>KNM12*1.75-Ext: M16X1.5 STST ALCOA</v>
          </cell>
          <cell r="C1339">
            <v>40565</v>
          </cell>
          <cell r="D1339">
            <v>1</v>
          </cell>
          <cell r="E1339" t="str">
            <v>קשיח</v>
          </cell>
          <cell r="F1339" t="str">
            <v>01.0327</v>
          </cell>
          <cell r="G1339">
            <v>45767</v>
          </cell>
          <cell r="H1339" t="str">
            <v>01.0327</v>
          </cell>
          <cell r="I1339" t="str">
            <v>גין מהנדסים בע"מ</v>
          </cell>
          <cell r="J1339">
            <v>21</v>
          </cell>
          <cell r="K1339" t="str">
            <v>₪</v>
          </cell>
          <cell r="L1339">
            <v>75</v>
          </cell>
          <cell r="M1339" t="str">
            <v>יח'</v>
          </cell>
          <cell r="N1339">
            <v>1575</v>
          </cell>
        </row>
        <row r="1340">
          <cell r="B1340" t="str">
            <v>KNM12*1.75  ALCOA</v>
          </cell>
          <cell r="C1340">
            <v>37291</v>
          </cell>
          <cell r="D1340">
            <v>2</v>
          </cell>
          <cell r="E1340" t="str">
            <v>קשיח</v>
          </cell>
          <cell r="F1340" t="str">
            <v>01.0327</v>
          </cell>
          <cell r="G1340">
            <v>45439</v>
          </cell>
          <cell r="H1340" t="str">
            <v>01.0327</v>
          </cell>
          <cell r="I1340" t="str">
            <v>גין מהנדסים בע"מ</v>
          </cell>
          <cell r="J1340">
            <v>21</v>
          </cell>
          <cell r="K1340" t="str">
            <v>₪</v>
          </cell>
          <cell r="L1340">
            <v>95</v>
          </cell>
          <cell r="M1340" t="str">
            <v>יח'</v>
          </cell>
          <cell r="N1340">
            <v>1995</v>
          </cell>
        </row>
        <row r="1341">
          <cell r="B1341" t="str">
            <v>M8*1 [L-12]  THREAD  LOCKING</v>
          </cell>
          <cell r="C1341">
            <v>39863</v>
          </cell>
          <cell r="D1341">
            <v>1</v>
          </cell>
          <cell r="E1341" t="str">
            <v>קשיח</v>
          </cell>
          <cell r="F1341" t="str">
            <v>01.0328</v>
          </cell>
          <cell r="G1341">
            <v>45705</v>
          </cell>
          <cell r="H1341" t="str">
            <v>01.0328</v>
          </cell>
          <cell r="I1341" t="str">
            <v>לוונשטיין טכנולוגיות בע"מ</v>
          </cell>
          <cell r="J1341">
            <v>0.55000000000000004</v>
          </cell>
          <cell r="K1341" t="str">
            <v>₪</v>
          </cell>
          <cell r="M1341" t="str">
            <v>יח'</v>
          </cell>
        </row>
        <row r="1342">
          <cell r="B1342" t="str">
            <v>M8*1 [L-12]  THREAD  LOCKING</v>
          </cell>
          <cell r="C1342">
            <v>14414</v>
          </cell>
          <cell r="D1342">
            <v>1</v>
          </cell>
          <cell r="E1342" t="str">
            <v>קשיח</v>
          </cell>
          <cell r="F1342" t="str">
            <v>01.0328</v>
          </cell>
          <cell r="G1342">
            <v>42754</v>
          </cell>
          <cell r="H1342" t="str">
            <v>01.0328</v>
          </cell>
          <cell r="I1342" t="str">
            <v>דר טכנולוגיות בע"מ</v>
          </cell>
          <cell r="J1342">
            <v>0.55000000000000004</v>
          </cell>
          <cell r="K1342" t="str">
            <v>₪</v>
          </cell>
          <cell r="L1342">
            <v>4500</v>
          </cell>
          <cell r="M1342" t="str">
            <v>יח'</v>
          </cell>
          <cell r="N1342">
            <v>2475</v>
          </cell>
        </row>
        <row r="1343">
          <cell r="B1343" t="str">
            <v>M8*1.25 1.5D/MA3279-159</v>
          </cell>
          <cell r="C1343">
            <v>39044</v>
          </cell>
          <cell r="D1343">
            <v>1</v>
          </cell>
          <cell r="E1343" t="str">
            <v>קשיח</v>
          </cell>
          <cell r="F1343" t="str">
            <v>01.0332</v>
          </cell>
          <cell r="G1343">
            <v>45630</v>
          </cell>
          <cell r="H1343" t="str">
            <v>01.0332</v>
          </cell>
          <cell r="I1343" t="str">
            <v>לוונשטיין טכנולוגיות בע"מ</v>
          </cell>
          <cell r="J1343">
            <v>0.75</v>
          </cell>
          <cell r="K1343" t="str">
            <v>₪</v>
          </cell>
          <cell r="L1343">
            <v>1000</v>
          </cell>
          <cell r="M1343" t="str">
            <v>יח'</v>
          </cell>
          <cell r="N1343">
            <v>750</v>
          </cell>
        </row>
        <row r="1344">
          <cell r="B1344" t="str">
            <v>M8*0.5 1.5D/MA3279-159</v>
          </cell>
          <cell r="C1344">
            <v>38045</v>
          </cell>
          <cell r="D1344">
            <v>1</v>
          </cell>
          <cell r="E1344" t="str">
            <v>קשיח</v>
          </cell>
          <cell r="F1344" t="str">
            <v>01.0332</v>
          </cell>
          <cell r="G1344">
            <v>45518</v>
          </cell>
          <cell r="H1344" t="str">
            <v>01.0332</v>
          </cell>
          <cell r="I1344" t="str">
            <v>לוונשטיין טכנולוגיות בע"מ</v>
          </cell>
          <cell r="J1344">
            <v>0.75</v>
          </cell>
          <cell r="K1344" t="str">
            <v>₪</v>
          </cell>
          <cell r="L1344">
            <v>300</v>
          </cell>
          <cell r="M1344" t="str">
            <v>יח'</v>
          </cell>
          <cell r="N1344">
            <v>225</v>
          </cell>
        </row>
        <row r="1345">
          <cell r="B1345" t="str">
            <v>M8*0.5 1.5D/MA3279-159</v>
          </cell>
          <cell r="C1345">
            <v>37966</v>
          </cell>
          <cell r="D1345">
            <v>1</v>
          </cell>
          <cell r="E1345" t="str">
            <v>קשיח</v>
          </cell>
          <cell r="F1345" t="str">
            <v>01.0332</v>
          </cell>
          <cell r="G1345">
            <v>45510</v>
          </cell>
          <cell r="H1345" t="str">
            <v>01.0332</v>
          </cell>
          <cell r="I1345" t="str">
            <v>לוונשטיין טכנולוגיות בע"מ</v>
          </cell>
          <cell r="J1345">
            <v>0.75</v>
          </cell>
          <cell r="K1345" t="str">
            <v>₪</v>
          </cell>
          <cell r="L1345">
            <v>200</v>
          </cell>
          <cell r="M1345" t="str">
            <v>יח'</v>
          </cell>
          <cell r="N1345">
            <v>150</v>
          </cell>
        </row>
        <row r="1346">
          <cell r="B1346" t="str">
            <v>M8*0.5 1.5D/MA3279-159</v>
          </cell>
          <cell r="C1346">
            <v>35827</v>
          </cell>
          <cell r="D1346">
            <v>1</v>
          </cell>
          <cell r="E1346" t="str">
            <v>קשיח</v>
          </cell>
          <cell r="F1346" t="str">
            <v>01.0332</v>
          </cell>
          <cell r="G1346">
            <v>45277</v>
          </cell>
          <cell r="H1346" t="str">
            <v>01.0332</v>
          </cell>
          <cell r="I1346" t="str">
            <v>לוונשטיין טכנולוגיות בע"מ</v>
          </cell>
          <cell r="J1346">
            <v>0.75</v>
          </cell>
          <cell r="K1346" t="str">
            <v>₪</v>
          </cell>
          <cell r="L1346">
            <v>600</v>
          </cell>
          <cell r="M1346" t="str">
            <v>יח'</v>
          </cell>
          <cell r="N1346">
            <v>450</v>
          </cell>
        </row>
        <row r="1347">
          <cell r="B1347" t="str">
            <v>M6*1 1.5D/MA3279-156</v>
          </cell>
          <cell r="C1347">
            <v>44379</v>
          </cell>
          <cell r="D1347">
            <v>1</v>
          </cell>
          <cell r="E1347" t="str">
            <v>קשיח</v>
          </cell>
          <cell r="F1347" t="str">
            <v>01.0333</v>
          </cell>
          <cell r="G1347">
            <v>46033</v>
          </cell>
          <cell r="H1347" t="str">
            <v>01.0333</v>
          </cell>
          <cell r="I1347" t="str">
            <v>דר טכנולוגיות בע"מ</v>
          </cell>
          <cell r="J1347">
            <v>0.65</v>
          </cell>
          <cell r="K1347" t="str">
            <v>₪</v>
          </cell>
          <cell r="L1347">
            <v>100</v>
          </cell>
          <cell r="M1347" t="str">
            <v>יח'</v>
          </cell>
          <cell r="N1347">
            <v>65</v>
          </cell>
        </row>
        <row r="1348">
          <cell r="B1348" t="str">
            <v>M6*1 1.5D/MA3279-156</v>
          </cell>
          <cell r="C1348">
            <v>41512</v>
          </cell>
          <cell r="D1348">
            <v>1</v>
          </cell>
          <cell r="E1348" t="str">
            <v>קשיח</v>
          </cell>
          <cell r="F1348" t="str">
            <v>01.0333</v>
          </cell>
          <cell r="G1348">
            <v>45855</v>
          </cell>
          <cell r="H1348" t="str">
            <v>01.0333</v>
          </cell>
          <cell r="I1348" t="str">
            <v>דר טכנולוגיות בע"מ</v>
          </cell>
          <cell r="J1348">
            <v>0.65</v>
          </cell>
          <cell r="K1348" t="str">
            <v>₪</v>
          </cell>
          <cell r="L1348">
            <v>100</v>
          </cell>
          <cell r="M1348" t="str">
            <v>יח'</v>
          </cell>
          <cell r="N1348">
            <v>65</v>
          </cell>
        </row>
        <row r="1349">
          <cell r="B1349" t="str">
            <v>M4*0.7 1.5D/MA3279-154</v>
          </cell>
          <cell r="C1349">
            <v>44455</v>
          </cell>
          <cell r="D1349">
            <v>1</v>
          </cell>
          <cell r="E1349" t="str">
            <v>קשיח</v>
          </cell>
          <cell r="F1349" t="str">
            <v>01.0334</v>
          </cell>
          <cell r="G1349">
            <v>46037</v>
          </cell>
          <cell r="H1349" t="str">
            <v>01.0334</v>
          </cell>
          <cell r="I1349" t="str">
            <v>דר טכנולוגיות בע"מ</v>
          </cell>
          <cell r="J1349">
            <v>0.55000000000000004</v>
          </cell>
          <cell r="K1349" t="str">
            <v>₪</v>
          </cell>
          <cell r="L1349">
            <v>4000</v>
          </cell>
          <cell r="M1349" t="str">
            <v>יח'</v>
          </cell>
          <cell r="N1349">
            <v>2200</v>
          </cell>
        </row>
        <row r="1350">
          <cell r="B1350" t="str">
            <v>M4*0.7 1.5D/MA3279-154</v>
          </cell>
          <cell r="C1350">
            <v>42989</v>
          </cell>
          <cell r="D1350">
            <v>1</v>
          </cell>
          <cell r="E1350" t="str">
            <v>קשיח</v>
          </cell>
          <cell r="F1350" t="str">
            <v>01.0334</v>
          </cell>
          <cell r="G1350">
            <v>45999</v>
          </cell>
          <cell r="H1350" t="str">
            <v>01.0334</v>
          </cell>
          <cell r="I1350" t="str">
            <v>דר טכנולוגיות בע"מ</v>
          </cell>
          <cell r="J1350">
            <v>0.55000000000000004</v>
          </cell>
          <cell r="K1350" t="str">
            <v>₪</v>
          </cell>
          <cell r="L1350">
            <v>1000</v>
          </cell>
          <cell r="M1350" t="str">
            <v>יח'</v>
          </cell>
          <cell r="N1350">
            <v>550</v>
          </cell>
        </row>
        <row r="1351">
          <cell r="B1351" t="str">
            <v>M4*0.7 1.5D/MA3279-154</v>
          </cell>
          <cell r="C1351">
            <v>40269</v>
          </cell>
          <cell r="D1351">
            <v>1</v>
          </cell>
          <cell r="E1351" t="str">
            <v>קשיח</v>
          </cell>
          <cell r="F1351" t="str">
            <v>01.0334</v>
          </cell>
          <cell r="G1351">
            <v>45740</v>
          </cell>
          <cell r="H1351" t="str">
            <v>01.0334</v>
          </cell>
          <cell r="I1351" t="str">
            <v>דר טכנולוגיות בע"מ</v>
          </cell>
          <cell r="J1351">
            <v>0.55000000000000004</v>
          </cell>
          <cell r="K1351" t="str">
            <v>₪</v>
          </cell>
          <cell r="L1351">
            <v>1000</v>
          </cell>
          <cell r="M1351" t="str">
            <v>יח'</v>
          </cell>
          <cell r="N1351">
            <v>550</v>
          </cell>
        </row>
        <row r="1352">
          <cell r="B1352" t="str">
            <v>M4*0.7 1.5D/MA3279-154</v>
          </cell>
          <cell r="C1352">
            <v>39485</v>
          </cell>
          <cell r="D1352">
            <v>1</v>
          </cell>
          <cell r="E1352" t="str">
            <v>קשיח</v>
          </cell>
          <cell r="F1352" t="str">
            <v>01.0334</v>
          </cell>
          <cell r="G1352">
            <v>45670</v>
          </cell>
          <cell r="H1352" t="str">
            <v>01.0334</v>
          </cell>
          <cell r="I1352" t="str">
            <v>דר טכנולוגיות בע"מ</v>
          </cell>
          <cell r="J1352">
            <v>0.55000000000000004</v>
          </cell>
          <cell r="K1352" t="str">
            <v>₪</v>
          </cell>
          <cell r="L1352">
            <v>1000</v>
          </cell>
          <cell r="M1352" t="str">
            <v>יח'</v>
          </cell>
          <cell r="N1352">
            <v>550</v>
          </cell>
        </row>
        <row r="1353">
          <cell r="B1353" t="str">
            <v>M4*0.7 1.5D/MA3279-154</v>
          </cell>
          <cell r="C1353">
            <v>36214</v>
          </cell>
          <cell r="D1353">
            <v>1</v>
          </cell>
          <cell r="E1353" t="str">
            <v>קשיח</v>
          </cell>
          <cell r="F1353" t="str">
            <v>01.0334</v>
          </cell>
          <cell r="G1353">
            <v>45314</v>
          </cell>
          <cell r="H1353" t="str">
            <v>01.0334</v>
          </cell>
          <cell r="I1353" t="str">
            <v>דר טכנולוגיות בע"מ</v>
          </cell>
          <cell r="J1353">
            <v>0.55000000000000004</v>
          </cell>
          <cell r="K1353" t="str">
            <v>₪</v>
          </cell>
          <cell r="L1353">
            <v>500</v>
          </cell>
          <cell r="M1353" t="str">
            <v>יח'</v>
          </cell>
          <cell r="N1353">
            <v>275</v>
          </cell>
        </row>
        <row r="1354">
          <cell r="B1354" t="str">
            <v>M4*0.7 1D/MA3279-104</v>
          </cell>
          <cell r="C1354">
            <v>42881</v>
          </cell>
          <cell r="D1354">
            <v>1</v>
          </cell>
          <cell r="E1354" t="str">
            <v>קשיח</v>
          </cell>
          <cell r="F1354" t="str">
            <v>01.0335</v>
          </cell>
          <cell r="G1354">
            <v>45992</v>
          </cell>
          <cell r="H1354" t="str">
            <v>01.0335</v>
          </cell>
          <cell r="I1354" t="str">
            <v>דר טכנולוגיות בע"מ</v>
          </cell>
          <cell r="J1354">
            <v>0.5</v>
          </cell>
          <cell r="K1354" t="str">
            <v>₪</v>
          </cell>
          <cell r="L1354">
            <v>1000</v>
          </cell>
          <cell r="M1354" t="str">
            <v>יח'</v>
          </cell>
          <cell r="N1354">
            <v>500</v>
          </cell>
        </row>
        <row r="1355">
          <cell r="B1355" t="str">
            <v>M4*0.7 1D/MA3279-104</v>
          </cell>
          <cell r="C1355">
            <v>42856</v>
          </cell>
          <cell r="D1355">
            <v>2</v>
          </cell>
          <cell r="E1355" t="str">
            <v>קשיח</v>
          </cell>
          <cell r="F1355" t="str">
            <v>01.0335</v>
          </cell>
          <cell r="G1355">
            <v>45988</v>
          </cell>
          <cell r="H1355" t="str">
            <v>01.0335</v>
          </cell>
          <cell r="I1355" t="str">
            <v>לוונשטיין טכנולוגיות בע"מ</v>
          </cell>
          <cell r="J1355">
            <v>0.5</v>
          </cell>
          <cell r="K1355" t="str">
            <v>₪</v>
          </cell>
          <cell r="L1355">
            <v>1000</v>
          </cell>
          <cell r="M1355" t="str">
            <v>יח'</v>
          </cell>
          <cell r="N1355">
            <v>500</v>
          </cell>
        </row>
        <row r="1356">
          <cell r="B1356" t="str">
            <v>M4*0.7 1D/MA3279-104</v>
          </cell>
          <cell r="C1356">
            <v>42684</v>
          </cell>
          <cell r="D1356">
            <v>1</v>
          </cell>
          <cell r="E1356" t="str">
            <v>קשיח</v>
          </cell>
          <cell r="F1356" t="str">
            <v>01.0335</v>
          </cell>
          <cell r="G1356">
            <v>45974</v>
          </cell>
          <cell r="H1356" t="str">
            <v>01.0335</v>
          </cell>
          <cell r="I1356" t="str">
            <v>דר טכנולוגיות בע"מ</v>
          </cell>
          <cell r="J1356">
            <v>0.5</v>
          </cell>
          <cell r="K1356" t="str">
            <v>₪</v>
          </cell>
          <cell r="L1356">
            <v>1200</v>
          </cell>
          <cell r="M1356" t="str">
            <v>יח'</v>
          </cell>
          <cell r="N1356">
            <v>600</v>
          </cell>
        </row>
        <row r="1357">
          <cell r="B1357" t="str">
            <v>M4*0.7 1D/MA3279-104</v>
          </cell>
          <cell r="C1357">
            <v>42276</v>
          </cell>
          <cell r="D1357">
            <v>1</v>
          </cell>
          <cell r="E1357" t="str">
            <v>קשיח</v>
          </cell>
          <cell r="F1357" t="str">
            <v>01.0335</v>
          </cell>
          <cell r="G1357">
            <v>45938</v>
          </cell>
          <cell r="H1357" t="str">
            <v>01.0335</v>
          </cell>
          <cell r="I1357" t="str">
            <v>דר טכנולוגיות בע"מ</v>
          </cell>
          <cell r="J1357">
            <v>0.5</v>
          </cell>
          <cell r="K1357" t="str">
            <v>₪</v>
          </cell>
          <cell r="L1357">
            <v>1000</v>
          </cell>
          <cell r="M1357" t="str">
            <v>יח'</v>
          </cell>
          <cell r="N1357">
            <v>500</v>
          </cell>
        </row>
        <row r="1358">
          <cell r="B1358" t="str">
            <v>M4*0.7 1D/MA3279-104</v>
          </cell>
          <cell r="C1358">
            <v>42265</v>
          </cell>
          <cell r="D1358">
            <v>1</v>
          </cell>
          <cell r="E1358" t="str">
            <v>קשיח</v>
          </cell>
          <cell r="F1358" t="str">
            <v>01.0335</v>
          </cell>
          <cell r="G1358">
            <v>45935</v>
          </cell>
          <cell r="H1358" t="str">
            <v>01.0335</v>
          </cell>
          <cell r="I1358" t="str">
            <v>דר טכנולוגיות בע"מ</v>
          </cell>
          <cell r="J1358">
            <v>0.5</v>
          </cell>
          <cell r="K1358" t="str">
            <v>₪</v>
          </cell>
          <cell r="L1358">
            <v>1000</v>
          </cell>
          <cell r="M1358" t="str">
            <v>יח'</v>
          </cell>
          <cell r="N1358">
            <v>500</v>
          </cell>
        </row>
        <row r="1359">
          <cell r="B1359" t="str">
            <v>M4*0.7 1D/MA3279-104</v>
          </cell>
          <cell r="C1359">
            <v>40797</v>
          </cell>
          <cell r="D1359">
            <v>1</v>
          </cell>
          <cell r="E1359" t="str">
            <v>קשיח</v>
          </cell>
          <cell r="F1359" t="str">
            <v>01.0335</v>
          </cell>
          <cell r="G1359">
            <v>45788</v>
          </cell>
          <cell r="H1359" t="str">
            <v>01.0335</v>
          </cell>
          <cell r="I1359" t="str">
            <v>לוונשטיין טכנולוגיות בע"מ</v>
          </cell>
          <cell r="J1359">
            <v>0.5</v>
          </cell>
          <cell r="K1359" t="str">
            <v>₪</v>
          </cell>
          <cell r="L1359">
            <v>1000</v>
          </cell>
          <cell r="M1359" t="str">
            <v>יח'</v>
          </cell>
          <cell r="N1359">
            <v>500</v>
          </cell>
        </row>
        <row r="1360">
          <cell r="B1360" t="str">
            <v>M4*0.7 1D/MA3279-104</v>
          </cell>
          <cell r="C1360">
            <v>39854</v>
          </cell>
          <cell r="D1360">
            <v>1</v>
          </cell>
          <cell r="E1360" t="str">
            <v>קשיח</v>
          </cell>
          <cell r="F1360" t="str">
            <v>01.0335</v>
          </cell>
          <cell r="G1360">
            <v>45705</v>
          </cell>
          <cell r="H1360" t="str">
            <v>01.0335</v>
          </cell>
          <cell r="I1360" t="str">
            <v>לוונשטיין טכנולוגיות בע"מ</v>
          </cell>
          <cell r="J1360">
            <v>0.5</v>
          </cell>
          <cell r="K1360" t="str">
            <v>₪</v>
          </cell>
          <cell r="L1360">
            <v>1000</v>
          </cell>
          <cell r="M1360" t="str">
            <v>יח'</v>
          </cell>
          <cell r="N1360">
            <v>500</v>
          </cell>
        </row>
        <row r="1361">
          <cell r="B1361" t="str">
            <v>M4*0.7 1D/MA3279-104</v>
          </cell>
          <cell r="C1361">
            <v>39372</v>
          </cell>
          <cell r="D1361">
            <v>1</v>
          </cell>
          <cell r="E1361" t="str">
            <v>קשיח</v>
          </cell>
          <cell r="F1361" t="str">
            <v>01.0335</v>
          </cell>
          <cell r="G1361">
            <v>45662</v>
          </cell>
          <cell r="H1361" t="str">
            <v>01.0335</v>
          </cell>
          <cell r="I1361" t="str">
            <v>לוונשטיין טכנולוגיות בע"מ</v>
          </cell>
          <cell r="J1361">
            <v>0.5</v>
          </cell>
          <cell r="K1361" t="str">
            <v>₪</v>
          </cell>
          <cell r="L1361">
            <v>1000</v>
          </cell>
          <cell r="M1361" t="str">
            <v>יח'</v>
          </cell>
          <cell r="N1361">
            <v>500</v>
          </cell>
        </row>
        <row r="1362">
          <cell r="B1362" t="str">
            <v>M4*0.7 1D/MA3279-104</v>
          </cell>
          <cell r="C1362">
            <v>36235</v>
          </cell>
          <cell r="D1362">
            <v>1</v>
          </cell>
          <cell r="E1362" t="str">
            <v>קשיח</v>
          </cell>
          <cell r="F1362" t="str">
            <v>01.0335</v>
          </cell>
          <cell r="G1362">
            <v>45315</v>
          </cell>
          <cell r="H1362" t="str">
            <v>01.0335</v>
          </cell>
          <cell r="I1362" t="str">
            <v>לוונשטיין טכנולוגיות בע"מ</v>
          </cell>
          <cell r="J1362">
            <v>0.5</v>
          </cell>
          <cell r="K1362" t="str">
            <v>₪</v>
          </cell>
          <cell r="L1362">
            <v>1000</v>
          </cell>
          <cell r="M1362" t="str">
            <v>יח'</v>
          </cell>
          <cell r="N1362">
            <v>500</v>
          </cell>
        </row>
        <row r="1363">
          <cell r="B1363" t="str">
            <v>M4*0.7 1D/MA3279-104</v>
          </cell>
          <cell r="C1363">
            <v>33498</v>
          </cell>
          <cell r="D1363">
            <v>4</v>
          </cell>
          <cell r="E1363" t="str">
            <v>קשיח</v>
          </cell>
          <cell r="F1363" t="str">
            <v>01.0335</v>
          </cell>
          <cell r="G1363">
            <v>44986</v>
          </cell>
          <cell r="H1363" t="str">
            <v>01.0335</v>
          </cell>
          <cell r="I1363" t="str">
            <v>לוונשטיין טכנולוגיות בע"מ</v>
          </cell>
          <cell r="J1363">
            <v>0.5</v>
          </cell>
          <cell r="K1363" t="str">
            <v>₪</v>
          </cell>
          <cell r="L1363">
            <v>1000</v>
          </cell>
          <cell r="M1363" t="str">
            <v>יח'</v>
          </cell>
          <cell r="N1363">
            <v>500</v>
          </cell>
        </row>
        <row r="1364">
          <cell r="B1364" t="str">
            <v>M8*1.25 1D/MA3279-109</v>
          </cell>
          <cell r="C1364">
            <v>42800</v>
          </cell>
          <cell r="D1364">
            <v>2</v>
          </cell>
          <cell r="E1364" t="str">
            <v>קשיח</v>
          </cell>
          <cell r="F1364" t="str">
            <v>01.0336</v>
          </cell>
          <cell r="G1364">
            <v>45985</v>
          </cell>
          <cell r="H1364" t="str">
            <v>01.0336</v>
          </cell>
          <cell r="I1364" t="str">
            <v>דר טכנולוגיות בע"מ</v>
          </cell>
          <cell r="J1364">
            <v>0.42</v>
          </cell>
          <cell r="K1364" t="str">
            <v>₪</v>
          </cell>
          <cell r="L1364">
            <v>100</v>
          </cell>
          <cell r="M1364" t="str">
            <v>יח'</v>
          </cell>
          <cell r="N1364">
            <v>42</v>
          </cell>
        </row>
        <row r="1365">
          <cell r="B1365" t="str">
            <v>M8*1.25 1D/MA3279-109</v>
          </cell>
          <cell r="C1365">
            <v>40867</v>
          </cell>
          <cell r="D1365">
            <v>2</v>
          </cell>
          <cell r="E1365" t="str">
            <v>קשיח</v>
          </cell>
          <cell r="F1365" t="str">
            <v>01.0336</v>
          </cell>
          <cell r="G1365">
            <v>45792</v>
          </cell>
          <cell r="H1365" t="str">
            <v>01.0336</v>
          </cell>
          <cell r="I1365" t="str">
            <v>דר טכנולוגיות בע"מ</v>
          </cell>
          <cell r="J1365">
            <v>0.42</v>
          </cell>
          <cell r="K1365" t="str">
            <v>₪</v>
          </cell>
          <cell r="L1365">
            <v>400</v>
          </cell>
          <cell r="M1365" t="str">
            <v>יח'</v>
          </cell>
          <cell r="N1365">
            <v>168</v>
          </cell>
        </row>
        <row r="1366">
          <cell r="B1366" t="str">
            <v>M8*1.25 1D/MA3279-109</v>
          </cell>
          <cell r="C1366">
            <v>40147</v>
          </cell>
          <cell r="D1366">
            <v>1</v>
          </cell>
          <cell r="E1366" t="str">
            <v>קשיח</v>
          </cell>
          <cell r="F1366" t="str">
            <v>01.0336</v>
          </cell>
          <cell r="G1366">
            <v>45728</v>
          </cell>
          <cell r="H1366" t="str">
            <v>01.0336</v>
          </cell>
          <cell r="I1366" t="str">
            <v>דר טכנולוגיות בע"מ</v>
          </cell>
          <cell r="J1366">
            <v>0.38</v>
          </cell>
          <cell r="K1366" t="str">
            <v>₪</v>
          </cell>
          <cell r="L1366">
            <v>10000</v>
          </cell>
          <cell r="M1366" t="str">
            <v>יח'</v>
          </cell>
          <cell r="N1366">
            <v>3800</v>
          </cell>
        </row>
        <row r="1367">
          <cell r="B1367" t="str">
            <v>M8*0.5 1D/MA3279-109</v>
          </cell>
          <cell r="C1367">
            <v>35507</v>
          </cell>
          <cell r="D1367">
            <v>2</v>
          </cell>
          <cell r="E1367" t="str">
            <v>קשיח</v>
          </cell>
          <cell r="F1367" t="str">
            <v>01.0336</v>
          </cell>
          <cell r="G1367">
            <v>45238</v>
          </cell>
          <cell r="H1367" t="str">
            <v>01.0336</v>
          </cell>
          <cell r="I1367" t="str">
            <v>דר טכנולוגיות בע"מ</v>
          </cell>
          <cell r="J1367">
            <v>0.55000000000000004</v>
          </cell>
          <cell r="K1367" t="str">
            <v>₪</v>
          </cell>
          <cell r="L1367">
            <v>500</v>
          </cell>
          <cell r="M1367" t="str">
            <v>יח'</v>
          </cell>
          <cell r="N1367">
            <v>275</v>
          </cell>
        </row>
        <row r="1368">
          <cell r="B1368" t="str">
            <v>DIN 8140-AM12 X18 -A2</v>
          </cell>
          <cell r="C1368">
            <v>23072</v>
          </cell>
          <cell r="D1368">
            <v>1</v>
          </cell>
          <cell r="E1368" t="str">
            <v>קשיח</v>
          </cell>
          <cell r="F1368" t="str">
            <v>01.0342</v>
          </cell>
          <cell r="G1368">
            <v>43524</v>
          </cell>
          <cell r="H1368" t="str">
            <v>01.0342</v>
          </cell>
          <cell r="I1368" t="str">
            <v>גין מהנדסים בע"מ</v>
          </cell>
          <cell r="J1368">
            <v>1.9</v>
          </cell>
          <cell r="K1368" t="str">
            <v>₪</v>
          </cell>
          <cell r="L1368">
            <v>100</v>
          </cell>
          <cell r="M1368" t="str">
            <v>יח'</v>
          </cell>
          <cell r="N1368">
            <v>190</v>
          </cell>
        </row>
        <row r="1369">
          <cell r="B1369" t="str">
            <v>MS21209F4-20</v>
          </cell>
          <cell r="C1369">
            <v>18625</v>
          </cell>
          <cell r="D1369">
            <v>6</v>
          </cell>
          <cell r="E1369" t="str">
            <v>קשיח</v>
          </cell>
          <cell r="F1369" t="str">
            <v>01.0344</v>
          </cell>
          <cell r="G1369">
            <v>43104</v>
          </cell>
          <cell r="H1369" t="str">
            <v>01.0344</v>
          </cell>
          <cell r="I1369" t="str">
            <v>גין מהנדסים בע"מ</v>
          </cell>
          <cell r="J1369">
            <v>0</v>
          </cell>
          <cell r="K1369" t="str">
            <v>₪</v>
          </cell>
          <cell r="M1369" t="str">
            <v>יח'</v>
          </cell>
        </row>
        <row r="1370">
          <cell r="B1370" t="str">
            <v>M8*1 FINE Thread 1.5D</v>
          </cell>
          <cell r="C1370">
            <v>39863</v>
          </cell>
          <cell r="D1370">
            <v>2</v>
          </cell>
          <cell r="E1370" t="str">
            <v>קשיח</v>
          </cell>
          <cell r="F1370" t="str">
            <v>01.0349</v>
          </cell>
          <cell r="G1370">
            <v>45705</v>
          </cell>
          <cell r="H1370" t="str">
            <v>01.0349</v>
          </cell>
          <cell r="I1370" t="str">
            <v>לוונשטיין טכנולוגיות בע"מ</v>
          </cell>
          <cell r="J1370">
            <v>0</v>
          </cell>
          <cell r="K1370" t="str">
            <v>₪</v>
          </cell>
          <cell r="M1370" t="str">
            <v>יח'</v>
          </cell>
        </row>
        <row r="1371">
          <cell r="B1371" t="str">
            <v>MS122158</v>
          </cell>
          <cell r="C1371">
            <v>42471</v>
          </cell>
          <cell r="D1371">
            <v>3</v>
          </cell>
          <cell r="E1371" t="str">
            <v>קשיח</v>
          </cell>
          <cell r="F1371" t="str">
            <v>01.0356</v>
          </cell>
          <cell r="G1371">
            <v>45958</v>
          </cell>
          <cell r="H1371" t="str">
            <v>01.0356</v>
          </cell>
          <cell r="I1371" t="str">
            <v>לוונשטיין טכנולוגיות בע"מ</v>
          </cell>
          <cell r="J1371">
            <v>0.7</v>
          </cell>
          <cell r="K1371" t="str">
            <v>₪</v>
          </cell>
          <cell r="L1371">
            <v>3000</v>
          </cell>
          <cell r="M1371" t="str">
            <v>יח'</v>
          </cell>
          <cell r="N1371">
            <v>2100</v>
          </cell>
        </row>
        <row r="1372">
          <cell r="B1372" t="str">
            <v>MS122158</v>
          </cell>
          <cell r="C1372">
            <v>41728</v>
          </cell>
          <cell r="D1372">
            <v>8</v>
          </cell>
          <cell r="E1372" t="str">
            <v>קשיח</v>
          </cell>
          <cell r="F1372" t="str">
            <v>01.0356</v>
          </cell>
          <cell r="G1372">
            <v>45875</v>
          </cell>
          <cell r="H1372" t="str">
            <v>01.0356</v>
          </cell>
          <cell r="I1372" t="str">
            <v>גין מהנדסים בע"מ</v>
          </cell>
          <cell r="J1372">
            <v>0.45600000000000002</v>
          </cell>
          <cell r="K1372" t="str">
            <v>₪</v>
          </cell>
          <cell r="L1372">
            <v>1000</v>
          </cell>
          <cell r="M1372" t="str">
            <v>יח'</v>
          </cell>
          <cell r="N1372">
            <v>456</v>
          </cell>
        </row>
        <row r="1373">
          <cell r="B1373" t="str">
            <v>MS122158</v>
          </cell>
          <cell r="C1373">
            <v>41728</v>
          </cell>
          <cell r="D1373">
            <v>9</v>
          </cell>
          <cell r="E1373" t="str">
            <v>קשיח</v>
          </cell>
          <cell r="F1373" t="str">
            <v>01.0356</v>
          </cell>
          <cell r="G1373">
            <v>45875</v>
          </cell>
          <cell r="H1373" t="str">
            <v>01.0356</v>
          </cell>
          <cell r="I1373" t="str">
            <v>גין מהנדסים בע"מ</v>
          </cell>
          <cell r="J1373">
            <v>0.45600000000000002</v>
          </cell>
          <cell r="K1373" t="str">
            <v>₪</v>
          </cell>
          <cell r="L1373">
            <v>1000</v>
          </cell>
          <cell r="M1373" t="str">
            <v>יח'</v>
          </cell>
          <cell r="N1373">
            <v>456</v>
          </cell>
        </row>
        <row r="1374">
          <cell r="B1374" t="str">
            <v>MS122158</v>
          </cell>
          <cell r="C1374">
            <v>41728</v>
          </cell>
          <cell r="D1374">
            <v>10</v>
          </cell>
          <cell r="E1374" t="str">
            <v>קשיח</v>
          </cell>
          <cell r="F1374" t="str">
            <v>01.0356</v>
          </cell>
          <cell r="G1374">
            <v>45875</v>
          </cell>
          <cell r="H1374" t="str">
            <v>01.0356</v>
          </cell>
          <cell r="I1374" t="str">
            <v>גין מהנדסים בע"מ</v>
          </cell>
          <cell r="J1374">
            <v>0.45600000000000002</v>
          </cell>
          <cell r="K1374" t="str">
            <v>₪</v>
          </cell>
          <cell r="L1374">
            <v>1000</v>
          </cell>
          <cell r="M1374" t="str">
            <v>יח'</v>
          </cell>
          <cell r="N1374">
            <v>456</v>
          </cell>
        </row>
        <row r="1375">
          <cell r="B1375" t="str">
            <v>MS122158</v>
          </cell>
          <cell r="C1375">
            <v>41728</v>
          </cell>
          <cell r="D1375">
            <v>11</v>
          </cell>
          <cell r="E1375" t="str">
            <v>קשיח</v>
          </cell>
          <cell r="F1375" t="str">
            <v>01.0356</v>
          </cell>
          <cell r="G1375">
            <v>45875</v>
          </cell>
          <cell r="H1375" t="str">
            <v>01.0356</v>
          </cell>
          <cell r="I1375" t="str">
            <v>גין מהנדסים בע"מ</v>
          </cell>
          <cell r="J1375">
            <v>0.45600000000000002</v>
          </cell>
          <cell r="K1375" t="str">
            <v>₪</v>
          </cell>
          <cell r="L1375">
            <v>1000</v>
          </cell>
          <cell r="M1375" t="str">
            <v>יח'</v>
          </cell>
          <cell r="N1375">
            <v>456</v>
          </cell>
        </row>
        <row r="1376">
          <cell r="B1376" t="str">
            <v>MS122158</v>
          </cell>
          <cell r="C1376">
            <v>39417</v>
          </cell>
          <cell r="D1376">
            <v>1</v>
          </cell>
          <cell r="E1376" t="str">
            <v>קשיח</v>
          </cell>
          <cell r="F1376" t="str">
            <v>01.0356</v>
          </cell>
          <cell r="G1376">
            <v>45664</v>
          </cell>
          <cell r="H1376" t="str">
            <v>01.0356</v>
          </cell>
          <cell r="I1376" t="str">
            <v>דר טכנולוגיות בע"מ</v>
          </cell>
          <cell r="J1376">
            <v>0.5</v>
          </cell>
          <cell r="K1376" t="str">
            <v>₪</v>
          </cell>
          <cell r="L1376">
            <v>700</v>
          </cell>
          <cell r="M1376" t="str">
            <v>יח'</v>
          </cell>
          <cell r="N1376">
            <v>350</v>
          </cell>
        </row>
        <row r="1377">
          <cell r="B1377" t="str">
            <v>MS122158</v>
          </cell>
          <cell r="C1377">
            <v>39258</v>
          </cell>
          <cell r="D1377">
            <v>1</v>
          </cell>
          <cell r="E1377" t="str">
            <v>קשיח</v>
          </cell>
          <cell r="F1377" t="str">
            <v>01.0356</v>
          </cell>
          <cell r="G1377">
            <v>45650</v>
          </cell>
          <cell r="H1377" t="str">
            <v>01.0356</v>
          </cell>
          <cell r="I1377" t="str">
            <v>דר טכנולוגיות בע"מ</v>
          </cell>
          <cell r="J1377">
            <v>0.5</v>
          </cell>
          <cell r="K1377" t="str">
            <v>₪</v>
          </cell>
          <cell r="L1377">
            <v>500</v>
          </cell>
          <cell r="M1377" t="str">
            <v>יח'</v>
          </cell>
          <cell r="N1377">
            <v>250</v>
          </cell>
        </row>
        <row r="1378">
          <cell r="B1378" t="str">
            <v>MS122158</v>
          </cell>
          <cell r="C1378">
            <v>38102</v>
          </cell>
          <cell r="D1378">
            <v>1</v>
          </cell>
          <cell r="E1378" t="str">
            <v>קשיח</v>
          </cell>
          <cell r="F1378" t="str">
            <v>01.0356</v>
          </cell>
          <cell r="G1378">
            <v>45524</v>
          </cell>
          <cell r="H1378" t="str">
            <v>01.0356</v>
          </cell>
          <cell r="I1378" t="str">
            <v>לוונשטיין טכנולוגיות בע"מ</v>
          </cell>
          <cell r="J1378">
            <v>0.7</v>
          </cell>
          <cell r="K1378" t="str">
            <v>₪</v>
          </cell>
          <cell r="L1378">
            <v>2000</v>
          </cell>
          <cell r="M1378" t="str">
            <v>יח'</v>
          </cell>
          <cell r="N1378">
            <v>1400</v>
          </cell>
        </row>
        <row r="1379">
          <cell r="B1379" t="str">
            <v>1400 יח   MS122158</v>
          </cell>
          <cell r="C1379">
            <v>30240</v>
          </cell>
          <cell r="D1379">
            <v>2</v>
          </cell>
          <cell r="E1379" t="str">
            <v>קשיח</v>
          </cell>
          <cell r="F1379" t="str">
            <v>01.0356</v>
          </cell>
          <cell r="G1379">
            <v>44518</v>
          </cell>
          <cell r="H1379" t="str">
            <v>01.0356</v>
          </cell>
          <cell r="I1379" t="str">
            <v>לוונשטיין טכנולוגיות בע"מ</v>
          </cell>
          <cell r="J1379">
            <v>1.64</v>
          </cell>
          <cell r="K1379" t="str">
            <v>₪</v>
          </cell>
          <cell r="L1379">
            <v>1400</v>
          </cell>
          <cell r="M1379" t="str">
            <v>יח'</v>
          </cell>
          <cell r="N1379">
            <v>2296</v>
          </cell>
        </row>
        <row r="1380">
          <cell r="B1380" t="str">
            <v>MS122158</v>
          </cell>
          <cell r="C1380">
            <v>29638</v>
          </cell>
          <cell r="D1380">
            <v>2</v>
          </cell>
          <cell r="E1380" t="str">
            <v>קשיח</v>
          </cell>
          <cell r="F1380" t="str">
            <v>01.0356</v>
          </cell>
          <cell r="G1380">
            <v>44433</v>
          </cell>
          <cell r="H1380" t="str">
            <v>01.0356</v>
          </cell>
          <cell r="I1380" t="str">
            <v>גין מהנדסים בע"מ</v>
          </cell>
          <cell r="J1380">
            <v>0.75</v>
          </cell>
          <cell r="K1380" t="str">
            <v>₪</v>
          </cell>
          <cell r="L1380">
            <v>400</v>
          </cell>
          <cell r="M1380" t="str">
            <v>יח'</v>
          </cell>
          <cell r="N1380">
            <v>300</v>
          </cell>
        </row>
        <row r="1381">
          <cell r="B1381" t="str">
            <v>MS122158</v>
          </cell>
          <cell r="C1381">
            <v>18625</v>
          </cell>
          <cell r="D1381">
            <v>2</v>
          </cell>
          <cell r="E1381" t="str">
            <v>קשיח</v>
          </cell>
          <cell r="F1381" t="str">
            <v>01.0356</v>
          </cell>
          <cell r="G1381">
            <v>43104</v>
          </cell>
          <cell r="H1381" t="str">
            <v>01.0356</v>
          </cell>
          <cell r="I1381" t="str">
            <v>גין מהנדסים בע"מ</v>
          </cell>
          <cell r="J1381">
            <v>0</v>
          </cell>
          <cell r="K1381" t="str">
            <v>₪</v>
          </cell>
          <cell r="M1381" t="str">
            <v>יח'</v>
          </cell>
        </row>
        <row r="1382">
          <cell r="B1382" t="str">
            <v>נוקר לשובר לשונית M2</v>
          </cell>
          <cell r="C1382">
            <v>41866</v>
          </cell>
          <cell r="D1382">
            <v>1</v>
          </cell>
          <cell r="E1382" t="str">
            <v>קשיח</v>
          </cell>
          <cell r="F1382" t="str">
            <v>01.0358</v>
          </cell>
          <cell r="G1382">
            <v>45887</v>
          </cell>
          <cell r="H1382" t="str">
            <v>01.0358</v>
          </cell>
          <cell r="I1382" t="str">
            <v>לוונשטיין טכנולוגיות בע"מ</v>
          </cell>
          <cell r="J1382">
            <v>70</v>
          </cell>
          <cell r="K1382" t="str">
            <v>₪</v>
          </cell>
          <cell r="L1382">
            <v>4</v>
          </cell>
          <cell r="M1382" t="str">
            <v>יח'</v>
          </cell>
          <cell r="N1382">
            <v>280</v>
          </cell>
        </row>
        <row r="1383">
          <cell r="B1383" t="str">
            <v>M10*1.5 1.5D DIN8140</v>
          </cell>
          <cell r="C1383">
            <v>23603</v>
          </cell>
          <cell r="D1383">
            <v>1</v>
          </cell>
          <cell r="E1383" t="str">
            <v>קשיח</v>
          </cell>
          <cell r="F1383" t="str">
            <v>01.0400</v>
          </cell>
          <cell r="G1383">
            <v>43585</v>
          </cell>
          <cell r="H1383" t="str">
            <v>01.0400</v>
          </cell>
          <cell r="I1383" t="str">
            <v>דר טכנולוגיות בע"מ</v>
          </cell>
          <cell r="J1383">
            <v>0.57999999999999996</v>
          </cell>
          <cell r="K1383" t="str">
            <v>₪</v>
          </cell>
          <cell r="L1383">
            <v>500</v>
          </cell>
          <cell r="M1383" t="str">
            <v>יח'</v>
          </cell>
          <cell r="N1383">
            <v>290</v>
          </cell>
        </row>
        <row r="1384">
          <cell r="B1384" t="str">
            <v>M10*1.5 1.5D DIN8140</v>
          </cell>
          <cell r="C1384">
            <v>23051</v>
          </cell>
          <cell r="D1384">
            <v>2</v>
          </cell>
          <cell r="E1384" t="str">
            <v>קשיח</v>
          </cell>
          <cell r="F1384" t="str">
            <v>01.0400</v>
          </cell>
          <cell r="G1384">
            <v>43523</v>
          </cell>
          <cell r="H1384" t="str">
            <v>01.0400</v>
          </cell>
          <cell r="I1384" t="str">
            <v>גין מהנדסים בע"מ</v>
          </cell>
          <cell r="J1384">
            <v>0.95</v>
          </cell>
          <cell r="K1384" t="str">
            <v>₪</v>
          </cell>
          <cell r="L1384">
            <v>500</v>
          </cell>
          <cell r="M1384" t="str">
            <v>יח'</v>
          </cell>
          <cell r="N1384">
            <v>475</v>
          </cell>
        </row>
        <row r="1385">
          <cell r="B1385" t="str">
            <v>KNM6X1-M1 -75066 - CLM-61-SKS - 26352-66352</v>
          </cell>
          <cell r="C1385">
            <v>40805</v>
          </cell>
          <cell r="D1385">
            <v>1</v>
          </cell>
          <cell r="E1385" t="str">
            <v>קשיח</v>
          </cell>
          <cell r="F1385" t="str">
            <v>01.0409</v>
          </cell>
          <cell r="G1385">
            <v>45788</v>
          </cell>
          <cell r="H1385" t="str">
            <v>01.0409</v>
          </cell>
          <cell r="I1385" t="str">
            <v>גין מהנדסים בע"מ</v>
          </cell>
          <cell r="J1385">
            <v>8</v>
          </cell>
          <cell r="K1385" t="str">
            <v>₪</v>
          </cell>
          <cell r="L1385">
            <v>96</v>
          </cell>
          <cell r="M1385" t="str">
            <v>יח'</v>
          </cell>
          <cell r="N1385">
            <v>768</v>
          </cell>
        </row>
        <row r="1386">
          <cell r="B1386" t="str">
            <v>KNM6X1-M1 -75066 - CLM-61-SKS - 26352-66352</v>
          </cell>
          <cell r="C1386">
            <v>38906</v>
          </cell>
          <cell r="D1386">
            <v>1</v>
          </cell>
          <cell r="E1386" t="str">
            <v>קשיח</v>
          </cell>
          <cell r="F1386" t="str">
            <v>01.0409</v>
          </cell>
          <cell r="G1386">
            <v>45620</v>
          </cell>
          <cell r="H1386" t="str">
            <v>01.0409</v>
          </cell>
          <cell r="I1386" t="str">
            <v>דר טכנולוגיות בע"מ</v>
          </cell>
          <cell r="J1386">
            <v>7</v>
          </cell>
          <cell r="K1386" t="str">
            <v>₪</v>
          </cell>
          <cell r="M1386" t="str">
            <v>יח'</v>
          </cell>
        </row>
        <row r="1387">
          <cell r="B1387" t="str">
            <v>KNM6X1-M1 -75066 - CLM-61-SKS - 26352-66352</v>
          </cell>
          <cell r="C1387">
            <v>37607</v>
          </cell>
          <cell r="D1387">
            <v>1</v>
          </cell>
          <cell r="E1387" t="str">
            <v>קשיח</v>
          </cell>
          <cell r="F1387" t="str">
            <v>01.0409</v>
          </cell>
          <cell r="G1387">
            <v>45474</v>
          </cell>
          <cell r="H1387" t="str">
            <v>01.0409</v>
          </cell>
          <cell r="I1387" t="str">
            <v>גין מהנדסים בע"מ</v>
          </cell>
          <cell r="J1387">
            <v>7</v>
          </cell>
          <cell r="K1387" t="str">
            <v>₪</v>
          </cell>
          <cell r="L1387">
            <v>20</v>
          </cell>
          <cell r="M1387" t="str">
            <v>יח'</v>
          </cell>
          <cell r="N1387">
            <v>140</v>
          </cell>
        </row>
        <row r="1388">
          <cell r="B1388" t="str">
            <v>KNM6X1-M1 -75066 - CLM-61-SKS - 26352-66352</v>
          </cell>
          <cell r="C1388">
            <v>37412</v>
          </cell>
          <cell r="D1388">
            <v>2</v>
          </cell>
          <cell r="E1388" t="str">
            <v>קשיח</v>
          </cell>
          <cell r="F1388" t="str">
            <v>01.0409</v>
          </cell>
          <cell r="G1388">
            <v>45448</v>
          </cell>
          <cell r="H1388" t="str">
            <v>01.0409</v>
          </cell>
          <cell r="I1388" t="str">
            <v>גין מהנדסים בע"מ</v>
          </cell>
          <cell r="J1388">
            <v>7</v>
          </cell>
          <cell r="K1388" t="str">
            <v>₪</v>
          </cell>
          <cell r="L1388">
            <v>100</v>
          </cell>
          <cell r="M1388" t="str">
            <v>יח'</v>
          </cell>
          <cell r="N1388">
            <v>700</v>
          </cell>
        </row>
        <row r="1389">
          <cell r="B1389" t="str">
            <v>KNM6X1-M1 -75066 - CLM-61-SKS - 26352-66352</v>
          </cell>
          <cell r="C1389">
            <v>37291</v>
          </cell>
          <cell r="D1389">
            <v>5</v>
          </cell>
          <cell r="E1389" t="str">
            <v>קשיח</v>
          </cell>
          <cell r="F1389" t="str">
            <v>01.0409</v>
          </cell>
          <cell r="G1389">
            <v>45439</v>
          </cell>
          <cell r="H1389" t="str">
            <v>01.0409</v>
          </cell>
          <cell r="I1389" t="str">
            <v>גין מהנדסים בע"מ</v>
          </cell>
          <cell r="J1389">
            <v>7</v>
          </cell>
          <cell r="K1389" t="str">
            <v>₪</v>
          </cell>
          <cell r="L1389">
            <v>225</v>
          </cell>
          <cell r="M1389" t="str">
            <v>יח'</v>
          </cell>
          <cell r="N1389">
            <v>1575</v>
          </cell>
        </row>
        <row r="1390">
          <cell r="B1390" t="str">
            <v>KNM6X1</v>
          </cell>
          <cell r="C1390">
            <v>33685</v>
          </cell>
          <cell r="D1390">
            <v>1</v>
          </cell>
          <cell r="E1390" t="str">
            <v>קשיח</v>
          </cell>
          <cell r="F1390" t="str">
            <v>01.0409</v>
          </cell>
          <cell r="G1390">
            <v>45019</v>
          </cell>
          <cell r="H1390" t="str">
            <v>01.0409</v>
          </cell>
          <cell r="I1390" t="str">
            <v>לוונשטיין טכנולוגיות בע"מ</v>
          </cell>
          <cell r="J1390">
            <v>17</v>
          </cell>
          <cell r="K1390" t="str">
            <v>₪</v>
          </cell>
          <cell r="L1390">
            <v>100</v>
          </cell>
          <cell r="M1390" t="str">
            <v>יח'</v>
          </cell>
          <cell r="N1390">
            <v>1700</v>
          </cell>
        </row>
        <row r="1391">
          <cell r="B1391" t="str">
            <v>KNM6X1-M10</v>
          </cell>
          <cell r="C1391">
            <v>29059</v>
          </cell>
          <cell r="D1391">
            <v>1</v>
          </cell>
          <cell r="E1391" t="str">
            <v>קשיח</v>
          </cell>
          <cell r="F1391" t="str">
            <v>01.0409</v>
          </cell>
          <cell r="G1391">
            <v>44360</v>
          </cell>
          <cell r="H1391" t="str">
            <v>01.0409</v>
          </cell>
          <cell r="I1391" t="str">
            <v>גין מהנדסים בע"מ</v>
          </cell>
          <cell r="J1391">
            <v>17</v>
          </cell>
          <cell r="K1391" t="str">
            <v>₪</v>
          </cell>
          <cell r="L1391">
            <v>100</v>
          </cell>
          <cell r="M1391" t="str">
            <v>יח'</v>
          </cell>
          <cell r="N1391">
            <v>1700</v>
          </cell>
        </row>
        <row r="1392">
          <cell r="B1392" t="str">
            <v>MS21209CO610P</v>
          </cell>
          <cell r="C1392">
            <v>40606</v>
          </cell>
          <cell r="D1392">
            <v>1</v>
          </cell>
          <cell r="E1392" t="str">
            <v>קשיח</v>
          </cell>
          <cell r="F1392" t="str">
            <v>01.0414</v>
          </cell>
          <cell r="G1392">
            <v>45769</v>
          </cell>
          <cell r="H1392" t="str">
            <v>01.0414</v>
          </cell>
          <cell r="I1392" t="str">
            <v>גין מהנדסים בע"מ</v>
          </cell>
          <cell r="J1392">
            <v>1.2</v>
          </cell>
          <cell r="K1392" t="str">
            <v>₪</v>
          </cell>
          <cell r="L1392">
            <v>500</v>
          </cell>
          <cell r="M1392" t="str">
            <v>יח'</v>
          </cell>
          <cell r="N1392">
            <v>600</v>
          </cell>
        </row>
        <row r="1393">
          <cell r="B1393" t="str">
            <v>כלי החדרה לקינסרט MS51830-102</v>
          </cell>
          <cell r="C1393">
            <v>41285</v>
          </cell>
          <cell r="D1393">
            <v>1</v>
          </cell>
          <cell r="E1393" t="str">
            <v>קשיח</v>
          </cell>
          <cell r="F1393" t="str">
            <v>01.0415</v>
          </cell>
          <cell r="G1393">
            <v>45833</v>
          </cell>
          <cell r="H1393" t="str">
            <v>01.0415</v>
          </cell>
          <cell r="I1393" t="str">
            <v>גין מהנדסים בע"מ</v>
          </cell>
          <cell r="J1393">
            <v>380</v>
          </cell>
          <cell r="K1393" t="str">
            <v>₪</v>
          </cell>
          <cell r="L1393">
            <v>1</v>
          </cell>
          <cell r="M1393" t="str">
            <v>יח'</v>
          </cell>
          <cell r="N1393">
            <v>380</v>
          </cell>
        </row>
        <row r="1394">
          <cell r="B1394" t="str">
            <v>3/8 -16UNC-2B/KN-428J</v>
          </cell>
          <cell r="C1394">
            <v>44751</v>
          </cell>
          <cell r="D1394">
            <v>1</v>
          </cell>
          <cell r="E1394" t="str">
            <v>קשיח</v>
          </cell>
          <cell r="F1394" t="str">
            <v>01.0417</v>
          </cell>
          <cell r="G1394">
            <v>46058</v>
          </cell>
          <cell r="H1394" t="str">
            <v>01.0417</v>
          </cell>
          <cell r="I1394" t="str">
            <v>גין מהנדסים בע"מ</v>
          </cell>
          <cell r="J1394">
            <v>32</v>
          </cell>
          <cell r="K1394" t="str">
            <v>₪</v>
          </cell>
          <cell r="L1394">
            <v>3</v>
          </cell>
          <cell r="M1394" t="str">
            <v>יח'</v>
          </cell>
          <cell r="N1394">
            <v>96</v>
          </cell>
        </row>
        <row r="1395">
          <cell r="B1395" t="str">
            <v>M5*1D</v>
          </cell>
          <cell r="C1395">
            <v>37082</v>
          </cell>
          <cell r="D1395">
            <v>1</v>
          </cell>
          <cell r="E1395" t="str">
            <v>קשיח</v>
          </cell>
          <cell r="F1395" t="str">
            <v>01.0418</v>
          </cell>
          <cell r="G1395">
            <v>45414</v>
          </cell>
          <cell r="H1395" t="str">
            <v>01.0418</v>
          </cell>
          <cell r="I1395" t="str">
            <v>לוונשטיין טכנולוגיות בע"מ</v>
          </cell>
          <cell r="J1395">
            <v>0.54</v>
          </cell>
          <cell r="K1395" t="str">
            <v>₪</v>
          </cell>
          <cell r="L1395">
            <v>2000</v>
          </cell>
          <cell r="M1395" t="str">
            <v>יח'</v>
          </cell>
          <cell r="N1395">
            <v>1080</v>
          </cell>
        </row>
        <row r="1396">
          <cell r="B1396" t="str">
            <v>M5*0.8 1D  FREE  MA3279-105</v>
          </cell>
          <cell r="C1396">
            <v>37004</v>
          </cell>
          <cell r="D1396">
            <v>1</v>
          </cell>
          <cell r="E1396" t="str">
            <v>קשיח</v>
          </cell>
          <cell r="F1396" t="str">
            <v>01.0418</v>
          </cell>
          <cell r="G1396">
            <v>45406</v>
          </cell>
          <cell r="H1396" t="str">
            <v>01.0418</v>
          </cell>
          <cell r="I1396" t="str">
            <v>דר טכנולוגיות בע"מ</v>
          </cell>
          <cell r="J1396">
            <v>0.5</v>
          </cell>
          <cell r="K1396" t="str">
            <v>₪</v>
          </cell>
          <cell r="L1396">
            <v>1000</v>
          </cell>
          <cell r="M1396" t="str">
            <v>יח'</v>
          </cell>
          <cell r="N1396">
            <v>500</v>
          </cell>
        </row>
        <row r="1397">
          <cell r="B1397" t="str">
            <v>MS51831-203</v>
          </cell>
          <cell r="C1397">
            <v>39190</v>
          </cell>
          <cell r="D1397">
            <v>1</v>
          </cell>
          <cell r="E1397" t="str">
            <v>קשיח</v>
          </cell>
          <cell r="F1397" t="str">
            <v>01.0420</v>
          </cell>
          <cell r="G1397">
            <v>45644</v>
          </cell>
          <cell r="H1397" t="str">
            <v>01.0420</v>
          </cell>
          <cell r="I1397" t="str">
            <v>לוונשטיין טכנולוגיות בע"מ</v>
          </cell>
          <cell r="J1397">
            <v>7</v>
          </cell>
          <cell r="K1397" t="str">
            <v>₪</v>
          </cell>
          <cell r="L1397">
            <v>900</v>
          </cell>
          <cell r="M1397" t="str">
            <v>יח'</v>
          </cell>
          <cell r="N1397">
            <v>6300</v>
          </cell>
        </row>
        <row r="1398">
          <cell r="B1398" t="str">
            <v>MS51831-203</v>
          </cell>
          <cell r="C1398">
            <v>38677</v>
          </cell>
          <cell r="D1398">
            <v>1</v>
          </cell>
          <cell r="E1398" t="str">
            <v>קשיח</v>
          </cell>
          <cell r="F1398" t="str">
            <v>01.0420</v>
          </cell>
          <cell r="G1398">
            <v>45595</v>
          </cell>
          <cell r="H1398" t="str">
            <v>01.0420</v>
          </cell>
          <cell r="I1398" t="str">
            <v>לוונשטיין טכנולוגיות בע"מ</v>
          </cell>
          <cell r="J1398">
            <v>7.5</v>
          </cell>
          <cell r="K1398" t="str">
            <v>₪</v>
          </cell>
          <cell r="L1398">
            <v>1000</v>
          </cell>
          <cell r="M1398" t="str">
            <v>יח'</v>
          </cell>
          <cell r="N1398">
            <v>7500</v>
          </cell>
        </row>
        <row r="1399">
          <cell r="B1399" t="str">
            <v>MS51831-203</v>
          </cell>
          <cell r="C1399">
            <v>33571</v>
          </cell>
          <cell r="D1399">
            <v>2</v>
          </cell>
          <cell r="E1399" t="str">
            <v>קשיח</v>
          </cell>
          <cell r="F1399" t="str">
            <v>01.0420</v>
          </cell>
          <cell r="G1399">
            <v>45004</v>
          </cell>
          <cell r="H1399" t="str">
            <v>01.0420</v>
          </cell>
          <cell r="I1399" t="str">
            <v>לוונשטיין טכנולוגיות בע"מ</v>
          </cell>
          <cell r="J1399">
            <v>6.9</v>
          </cell>
          <cell r="K1399" t="str">
            <v>₪</v>
          </cell>
          <cell r="L1399">
            <v>600</v>
          </cell>
          <cell r="M1399" t="str">
            <v>יח'</v>
          </cell>
          <cell r="N1399">
            <v>4140</v>
          </cell>
        </row>
        <row r="1400">
          <cell r="B1400" t="str">
            <v>M3*0.5 1D/MA3279-102</v>
          </cell>
          <cell r="C1400">
            <v>42881</v>
          </cell>
          <cell r="D1400">
            <v>2</v>
          </cell>
          <cell r="E1400" t="str">
            <v>קשיח</v>
          </cell>
          <cell r="F1400" t="str">
            <v>01.0425</v>
          </cell>
          <cell r="G1400">
            <v>45992</v>
          </cell>
          <cell r="H1400" t="str">
            <v>01.0425</v>
          </cell>
          <cell r="I1400" t="str">
            <v>דר טכנולוגיות בע"מ</v>
          </cell>
          <cell r="J1400">
            <v>0.5</v>
          </cell>
          <cell r="K1400" t="str">
            <v>₪</v>
          </cell>
          <cell r="L1400">
            <v>2000</v>
          </cell>
          <cell r="M1400" t="str">
            <v>יח'</v>
          </cell>
          <cell r="N1400">
            <v>1000</v>
          </cell>
        </row>
        <row r="1401">
          <cell r="B1401" t="str">
            <v>M3*0.5 1D/MA3279-102</v>
          </cell>
          <cell r="C1401">
            <v>42684</v>
          </cell>
          <cell r="D1401">
            <v>2</v>
          </cell>
          <cell r="E1401" t="str">
            <v>קשיח</v>
          </cell>
          <cell r="F1401" t="str">
            <v>01.0425</v>
          </cell>
          <cell r="G1401">
            <v>45974</v>
          </cell>
          <cell r="H1401" t="str">
            <v>01.0425</v>
          </cell>
          <cell r="I1401" t="str">
            <v>דר טכנולוגיות בע"מ</v>
          </cell>
          <cell r="J1401">
            <v>0.5</v>
          </cell>
          <cell r="K1401" t="str">
            <v>₪</v>
          </cell>
          <cell r="L1401">
            <v>800</v>
          </cell>
          <cell r="M1401" t="str">
            <v>יח'</v>
          </cell>
          <cell r="N1401">
            <v>400</v>
          </cell>
        </row>
        <row r="1402">
          <cell r="B1402" t="str">
            <v>M3*0.5 1D/MA3279-102</v>
          </cell>
          <cell r="C1402">
            <v>35648</v>
          </cell>
          <cell r="D1402">
            <v>1</v>
          </cell>
          <cell r="E1402" t="str">
            <v>קשיח</v>
          </cell>
          <cell r="F1402" t="str">
            <v>01.0425</v>
          </cell>
          <cell r="G1402">
            <v>45257</v>
          </cell>
          <cell r="H1402" t="str">
            <v>01.0425</v>
          </cell>
          <cell r="I1402" t="str">
            <v>לוונשטיין טכנולוגיות בע"מ</v>
          </cell>
          <cell r="J1402">
            <v>0.49</v>
          </cell>
          <cell r="K1402" t="str">
            <v>₪</v>
          </cell>
          <cell r="L1402">
            <v>1000</v>
          </cell>
          <cell r="M1402" t="str">
            <v>יח'</v>
          </cell>
          <cell r="N1402">
            <v>490</v>
          </cell>
        </row>
        <row r="1403">
          <cell r="B1403" t="str">
            <v>AC-735 CLASS B-2 /3M</v>
          </cell>
          <cell r="C1403">
            <v>22886</v>
          </cell>
          <cell r="D1403">
            <v>1</v>
          </cell>
          <cell r="E1403" t="str">
            <v>קשיח</v>
          </cell>
          <cell r="F1403" t="str">
            <v>01.0426</v>
          </cell>
          <cell r="G1403">
            <v>43503</v>
          </cell>
          <cell r="H1403" t="str">
            <v>01.0426</v>
          </cell>
          <cell r="I1403" t="str">
            <v>לשם טכנולוגיות תעשיי</v>
          </cell>
          <cell r="J1403">
            <v>295</v>
          </cell>
          <cell r="K1403" t="str">
            <v>$</v>
          </cell>
          <cell r="L1403">
            <v>1</v>
          </cell>
          <cell r="M1403" t="str">
            <v>יח'</v>
          </cell>
          <cell r="N1403">
            <v>906.24</v>
          </cell>
        </row>
        <row r="1404">
          <cell r="B1404" t="str">
            <v>M3*0.5 -6H /MA3279-202</v>
          </cell>
          <cell r="C1404">
            <v>36173</v>
          </cell>
          <cell r="D1404">
            <v>1</v>
          </cell>
          <cell r="E1404" t="str">
            <v>קשיח</v>
          </cell>
          <cell r="F1404" t="str">
            <v>01.0428</v>
          </cell>
          <cell r="G1404">
            <v>45312</v>
          </cell>
          <cell r="H1404" t="str">
            <v>01.0428</v>
          </cell>
          <cell r="I1404" t="str">
            <v>דר טכנולוגיות בע"מ</v>
          </cell>
          <cell r="J1404">
            <v>0.6</v>
          </cell>
          <cell r="K1404" t="str">
            <v>₪</v>
          </cell>
          <cell r="L1404">
            <v>500</v>
          </cell>
          <cell r="M1404" t="str">
            <v>יח'</v>
          </cell>
          <cell r="N1404">
            <v>300</v>
          </cell>
        </row>
        <row r="1405">
          <cell r="B1405" t="str">
            <v>M3*0.5 -6H /MA3279-202</v>
          </cell>
          <cell r="C1405">
            <v>19143</v>
          </cell>
          <cell r="D1405">
            <v>1</v>
          </cell>
          <cell r="E1405" t="str">
            <v>קשיח</v>
          </cell>
          <cell r="F1405" t="str">
            <v>01.0428</v>
          </cell>
          <cell r="G1405">
            <v>43153</v>
          </cell>
          <cell r="H1405" t="str">
            <v>01.0428</v>
          </cell>
          <cell r="I1405" t="str">
            <v>דר טכנולוגיות בע"מ</v>
          </cell>
          <cell r="J1405">
            <v>0.5</v>
          </cell>
          <cell r="K1405" t="str">
            <v>₪</v>
          </cell>
          <cell r="L1405">
            <v>400</v>
          </cell>
          <cell r="M1405" t="str">
            <v>יח'</v>
          </cell>
          <cell r="N1405">
            <v>200</v>
          </cell>
        </row>
        <row r="1406">
          <cell r="B1406" t="str">
            <v>5/8-18 UNF -2B *1D LOCK MS21209F1010</v>
          </cell>
          <cell r="C1406">
            <v>19223</v>
          </cell>
          <cell r="D1406">
            <v>1</v>
          </cell>
          <cell r="E1406" t="str">
            <v>קשיח</v>
          </cell>
          <cell r="F1406" t="str">
            <v>01.0429</v>
          </cell>
          <cell r="G1406">
            <v>43163</v>
          </cell>
          <cell r="H1406" t="str">
            <v>01.0429</v>
          </cell>
          <cell r="I1406" t="str">
            <v>גין מהנדסים בע"מ</v>
          </cell>
          <cell r="J1406">
            <v>0</v>
          </cell>
          <cell r="K1406" t="str">
            <v>₪</v>
          </cell>
          <cell r="M1406" t="str">
            <v>יח'</v>
          </cell>
        </row>
        <row r="1407">
          <cell r="B1407" t="str">
            <v>KNML8*1.25</v>
          </cell>
          <cell r="C1407">
            <v>33684</v>
          </cell>
          <cell r="D1407">
            <v>1</v>
          </cell>
          <cell r="E1407" t="str">
            <v>קשיח</v>
          </cell>
          <cell r="F1407" t="str">
            <v>01.0431</v>
          </cell>
          <cell r="G1407">
            <v>45019</v>
          </cell>
          <cell r="H1407" t="str">
            <v>01.0431</v>
          </cell>
          <cell r="I1407" t="str">
            <v>גין מהנדסים בע"מ</v>
          </cell>
          <cell r="J1407">
            <v>37</v>
          </cell>
          <cell r="K1407" t="str">
            <v>₪</v>
          </cell>
          <cell r="L1407">
            <v>30</v>
          </cell>
          <cell r="M1407" t="str">
            <v>יח'</v>
          </cell>
          <cell r="N1407">
            <v>1110</v>
          </cell>
        </row>
        <row r="1408">
          <cell r="B1408" t="str">
            <v>MS51830-107</v>
          </cell>
          <cell r="C1408">
            <v>41704</v>
          </cell>
          <cell r="D1408">
            <v>1</v>
          </cell>
          <cell r="E1408" t="str">
            <v>קשיח</v>
          </cell>
          <cell r="F1408" t="str">
            <v>01.0432</v>
          </cell>
          <cell r="G1408">
            <v>45874</v>
          </cell>
          <cell r="H1408" t="str">
            <v>01.0432</v>
          </cell>
          <cell r="I1408" t="str">
            <v>גין מהנדסים בע"מ</v>
          </cell>
          <cell r="J1408">
            <v>8.7899999999999991</v>
          </cell>
          <cell r="K1408" t="str">
            <v>₪</v>
          </cell>
          <cell r="L1408">
            <v>50</v>
          </cell>
          <cell r="M1408" t="str">
            <v>יח'</v>
          </cell>
          <cell r="N1408">
            <v>439.49999999999994</v>
          </cell>
        </row>
        <row r="1409">
          <cell r="B1409" t="str">
            <v>MS51830-107</v>
          </cell>
          <cell r="C1409">
            <v>36016</v>
          </cell>
          <cell r="D1409">
            <v>1</v>
          </cell>
          <cell r="E1409" t="str">
            <v>קשיח</v>
          </cell>
          <cell r="F1409" t="str">
            <v>01.0432</v>
          </cell>
          <cell r="G1409">
            <v>45294</v>
          </cell>
          <cell r="H1409" t="str">
            <v>01.0432</v>
          </cell>
          <cell r="I1409" t="str">
            <v>גין מהנדסים בע"מ</v>
          </cell>
          <cell r="J1409">
            <v>7.5</v>
          </cell>
          <cell r="K1409" t="str">
            <v>₪</v>
          </cell>
          <cell r="L1409">
            <v>100</v>
          </cell>
          <cell r="M1409" t="str">
            <v>יח'</v>
          </cell>
          <cell r="N1409">
            <v>750</v>
          </cell>
        </row>
        <row r="1410">
          <cell r="B1410" t="str">
            <v>MS51830-107</v>
          </cell>
          <cell r="C1410">
            <v>28331</v>
          </cell>
          <cell r="D1410">
            <v>1</v>
          </cell>
          <cell r="E1410" t="str">
            <v>קשיח</v>
          </cell>
          <cell r="F1410" t="str">
            <v>01.0432</v>
          </cell>
          <cell r="G1410">
            <v>44258</v>
          </cell>
          <cell r="H1410" t="str">
            <v>01.0432</v>
          </cell>
          <cell r="I1410" t="str">
            <v>גין מהנדסים בע"מ</v>
          </cell>
          <cell r="J1410">
            <v>6</v>
          </cell>
          <cell r="K1410" t="str">
            <v>₪</v>
          </cell>
          <cell r="L1410">
            <v>50</v>
          </cell>
          <cell r="M1410" t="str">
            <v>יח'</v>
          </cell>
          <cell r="N1410">
            <v>300</v>
          </cell>
        </row>
        <row r="1411">
          <cell r="B1411" t="str">
            <v>MS51830-107</v>
          </cell>
          <cell r="C1411">
            <v>28295</v>
          </cell>
          <cell r="D1411">
            <v>1</v>
          </cell>
          <cell r="E1411" t="str">
            <v>קשיח</v>
          </cell>
          <cell r="F1411" t="str">
            <v>01.0432</v>
          </cell>
          <cell r="G1411">
            <v>44255</v>
          </cell>
          <cell r="H1411" t="str">
            <v>01.0432</v>
          </cell>
          <cell r="I1411" t="str">
            <v>גין מהנדסים בע"מ</v>
          </cell>
          <cell r="J1411">
            <v>6</v>
          </cell>
          <cell r="K1411" t="str">
            <v>₪</v>
          </cell>
          <cell r="L1411">
            <v>60</v>
          </cell>
          <cell r="M1411" t="str">
            <v>יח'</v>
          </cell>
          <cell r="N1411">
            <v>360</v>
          </cell>
        </row>
        <row r="1412">
          <cell r="B1412" t="str">
            <v>LOCTITE 609 50ML</v>
          </cell>
          <cell r="C1412">
            <v>30162</v>
          </cell>
          <cell r="D1412">
            <v>2</v>
          </cell>
          <cell r="E1412" t="str">
            <v>קשיח</v>
          </cell>
          <cell r="F1412" t="str">
            <v>01.0433</v>
          </cell>
          <cell r="G1412">
            <v>44510</v>
          </cell>
          <cell r="H1412" t="str">
            <v>01.0433</v>
          </cell>
          <cell r="I1412" t="str">
            <v>מאור גבריאלי הספקה ט</v>
          </cell>
          <cell r="J1412">
            <v>0</v>
          </cell>
          <cell r="K1412" t="str">
            <v>₪</v>
          </cell>
          <cell r="M1412" t="str">
            <v>יח'</v>
          </cell>
        </row>
        <row r="1413">
          <cell r="B1413" t="str">
            <v>AC-735 CLASS B-1/2 -3M</v>
          </cell>
          <cell r="C1413">
            <v>23110</v>
          </cell>
          <cell r="D1413">
            <v>1</v>
          </cell>
          <cell r="E1413" t="str">
            <v>קשיח</v>
          </cell>
          <cell r="F1413" t="str">
            <v>01.0434</v>
          </cell>
          <cell r="G1413">
            <v>43528</v>
          </cell>
          <cell r="H1413" t="str">
            <v>01.0434</v>
          </cell>
          <cell r="I1413" t="str">
            <v>לשם טכנולוגיות תעשיי</v>
          </cell>
          <cell r="J1413">
            <v>295</v>
          </cell>
          <cell r="K1413" t="str">
            <v>$</v>
          </cell>
          <cell r="L1413">
            <v>1</v>
          </cell>
          <cell r="M1413" t="str">
            <v>יח'</v>
          </cell>
          <cell r="N1413">
            <v>906.24</v>
          </cell>
        </row>
        <row r="1414">
          <cell r="B1414" t="str">
            <v>מוט הברגה מנדרל M6</v>
          </cell>
          <cell r="C1414">
            <v>38324</v>
          </cell>
          <cell r="D1414">
            <v>7</v>
          </cell>
          <cell r="E1414" t="str">
            <v>קשיח</v>
          </cell>
          <cell r="F1414" t="str">
            <v>01.0435</v>
          </cell>
          <cell r="G1414">
            <v>45550</v>
          </cell>
          <cell r="H1414" t="str">
            <v>01.0435</v>
          </cell>
          <cell r="I1414" t="str">
            <v>לוונשטיין טכנולוגיות בע"מ</v>
          </cell>
          <cell r="J1414">
            <v>375</v>
          </cell>
          <cell r="K1414" t="str">
            <v>₪</v>
          </cell>
          <cell r="L1414">
            <v>2</v>
          </cell>
          <cell r="M1414" t="str">
            <v>יח'</v>
          </cell>
          <cell r="N1414">
            <v>750</v>
          </cell>
        </row>
        <row r="1415">
          <cell r="B1415" t="str">
            <v>Screw NAS1351-3LB6P</v>
          </cell>
          <cell r="C1415">
            <v>43099</v>
          </cell>
          <cell r="D1415">
            <v>2</v>
          </cell>
          <cell r="E1415" t="str">
            <v>קשיח</v>
          </cell>
          <cell r="F1415" t="str">
            <v>01.0436</v>
          </cell>
          <cell r="G1415">
            <v>46008</v>
          </cell>
          <cell r="H1415" t="str">
            <v>01.0436</v>
          </cell>
          <cell r="I1415" t="str">
            <v>דר טכנולוגיות בע"מ</v>
          </cell>
          <cell r="J1415">
            <v>5.8</v>
          </cell>
          <cell r="K1415" t="str">
            <v>₪</v>
          </cell>
          <cell r="M1415" t="str">
            <v>יח'</v>
          </cell>
        </row>
        <row r="1416">
          <cell r="B1416" t="str">
            <v>Screw NAS1351-3LB6P</v>
          </cell>
          <cell r="C1416">
            <v>40972</v>
          </cell>
          <cell r="D1416">
            <v>1</v>
          </cell>
          <cell r="E1416" t="str">
            <v>קשיח</v>
          </cell>
          <cell r="F1416" t="str">
            <v>01.0436</v>
          </cell>
          <cell r="G1416">
            <v>45803</v>
          </cell>
          <cell r="H1416" t="str">
            <v>01.0436</v>
          </cell>
          <cell r="I1416" t="str">
            <v>גין מהנדסים בע"מ</v>
          </cell>
          <cell r="J1416">
            <v>5.8</v>
          </cell>
          <cell r="K1416" t="str">
            <v>₪</v>
          </cell>
          <cell r="L1416">
            <v>120</v>
          </cell>
          <cell r="M1416" t="str">
            <v>יח'</v>
          </cell>
          <cell r="N1416">
            <v>696</v>
          </cell>
        </row>
        <row r="1417">
          <cell r="B1417" t="str">
            <v>Screw NAS1351-3LB6P</v>
          </cell>
          <cell r="C1417">
            <v>40265</v>
          </cell>
          <cell r="D1417">
            <v>1</v>
          </cell>
          <cell r="E1417" t="str">
            <v>קשיח</v>
          </cell>
          <cell r="F1417" t="str">
            <v>01.0436</v>
          </cell>
          <cell r="G1417">
            <v>45739</v>
          </cell>
          <cell r="H1417" t="str">
            <v>01.0436</v>
          </cell>
          <cell r="I1417" t="str">
            <v>ברמיל בע"מ</v>
          </cell>
          <cell r="J1417">
            <v>12.95</v>
          </cell>
          <cell r="K1417" t="str">
            <v>₪</v>
          </cell>
          <cell r="L1417">
            <v>40</v>
          </cell>
          <cell r="M1417" t="str">
            <v>יח'</v>
          </cell>
          <cell r="N1417">
            <v>518</v>
          </cell>
        </row>
        <row r="1418">
          <cell r="B1418" t="str">
            <v>Screw NAS1351-3LB6P</v>
          </cell>
          <cell r="C1418">
            <v>39818</v>
          </cell>
          <cell r="D1418">
            <v>1</v>
          </cell>
          <cell r="E1418" t="str">
            <v>קשיח</v>
          </cell>
          <cell r="F1418" t="str">
            <v>01.0436</v>
          </cell>
          <cell r="G1418">
            <v>45700</v>
          </cell>
          <cell r="H1418" t="str">
            <v>01.0436</v>
          </cell>
          <cell r="I1418" t="str">
            <v>גין מהנדסים בע"מ</v>
          </cell>
          <cell r="J1418">
            <v>5</v>
          </cell>
          <cell r="K1418" t="str">
            <v>₪</v>
          </cell>
          <cell r="L1418">
            <v>1300</v>
          </cell>
          <cell r="M1418" t="str">
            <v>יח'</v>
          </cell>
          <cell r="N1418">
            <v>6500</v>
          </cell>
        </row>
        <row r="1419">
          <cell r="B1419" t="str">
            <v>Screw NAS1351-3LB6P</v>
          </cell>
          <cell r="C1419">
            <v>39579</v>
          </cell>
          <cell r="D1419">
            <v>1</v>
          </cell>
          <cell r="E1419" t="str">
            <v>קשיח</v>
          </cell>
          <cell r="F1419" t="str">
            <v>01.0436</v>
          </cell>
          <cell r="G1419">
            <v>45680</v>
          </cell>
          <cell r="H1419" t="str">
            <v>01.0436</v>
          </cell>
          <cell r="I1419" t="str">
            <v>גין מהנדסים בע"מ</v>
          </cell>
          <cell r="J1419">
            <v>5.8</v>
          </cell>
          <cell r="K1419" t="str">
            <v>₪</v>
          </cell>
          <cell r="L1419">
            <v>150</v>
          </cell>
          <cell r="M1419" t="str">
            <v>יח'</v>
          </cell>
          <cell r="N1419">
            <v>870</v>
          </cell>
        </row>
        <row r="1420">
          <cell r="B1420" t="str">
            <v>MS51830-103L  /KNCL0632J /ACME</v>
          </cell>
          <cell r="C1420">
            <v>32750</v>
          </cell>
          <cell r="D1420">
            <v>2</v>
          </cell>
          <cell r="E1420" t="str">
            <v>קשיח</v>
          </cell>
          <cell r="F1420" t="str">
            <v>01.0438</v>
          </cell>
          <cell r="G1420">
            <v>44874</v>
          </cell>
          <cell r="H1420" t="str">
            <v>01.0438</v>
          </cell>
          <cell r="I1420" t="str">
            <v>לוונשטיין טכנולוגיות בע"מ</v>
          </cell>
          <cell r="J1420">
            <v>6.9</v>
          </cell>
          <cell r="K1420" t="str">
            <v>₪</v>
          </cell>
          <cell r="L1420">
            <v>500</v>
          </cell>
          <cell r="M1420" t="str">
            <v>יח'</v>
          </cell>
          <cell r="N1420">
            <v>3450</v>
          </cell>
        </row>
        <row r="1421">
          <cell r="B1421" t="str">
            <v>MS51830-103L  /KNCL0632J /ACME</v>
          </cell>
          <cell r="C1421">
            <v>23085</v>
          </cell>
          <cell r="D1421">
            <v>1</v>
          </cell>
          <cell r="E1421" t="str">
            <v>קשיח</v>
          </cell>
          <cell r="F1421" t="str">
            <v>01.0438</v>
          </cell>
          <cell r="G1421">
            <v>43527</v>
          </cell>
          <cell r="H1421" t="str">
            <v>01.0438</v>
          </cell>
          <cell r="I1421" t="str">
            <v>גין מהנדסים בע"מ</v>
          </cell>
          <cell r="J1421">
            <v>5.49</v>
          </cell>
          <cell r="K1421" t="str">
            <v>₪</v>
          </cell>
          <cell r="L1421">
            <v>500</v>
          </cell>
          <cell r="M1421" t="str">
            <v>יח'</v>
          </cell>
          <cell r="N1421">
            <v>2745</v>
          </cell>
        </row>
        <row r="1422">
          <cell r="B1422" t="str">
            <v>MS51830-103L  /KNCL0632J /ACME</v>
          </cell>
          <cell r="C1422">
            <v>23108</v>
          </cell>
          <cell r="D1422">
            <v>1</v>
          </cell>
          <cell r="E1422" t="str">
            <v>קשיח</v>
          </cell>
          <cell r="F1422" t="str">
            <v>01.0438</v>
          </cell>
          <cell r="G1422">
            <v>43527</v>
          </cell>
          <cell r="H1422" t="str">
            <v>01.0438</v>
          </cell>
          <cell r="I1422" t="str">
            <v>ברמיל בע"מ</v>
          </cell>
          <cell r="J1422">
            <v>5.35</v>
          </cell>
          <cell r="K1422" t="str">
            <v>₪</v>
          </cell>
          <cell r="L1422">
            <v>200</v>
          </cell>
          <cell r="M1422" t="str">
            <v>יח'</v>
          </cell>
          <cell r="N1422">
            <v>1070</v>
          </cell>
        </row>
        <row r="1423">
          <cell r="B1423" t="str">
            <v>MS51830-103L  /KNCL0632J /ACME</v>
          </cell>
          <cell r="C1423">
            <v>21092</v>
          </cell>
          <cell r="D1423">
            <v>1</v>
          </cell>
          <cell r="E1423" t="str">
            <v>קשיח</v>
          </cell>
          <cell r="F1423" t="str">
            <v>01.0438</v>
          </cell>
          <cell r="G1423">
            <v>43264</v>
          </cell>
          <cell r="H1423" t="str">
            <v>01.0438</v>
          </cell>
          <cell r="I1423" t="str">
            <v>ברמיל בע"מ</v>
          </cell>
          <cell r="J1423">
            <v>0</v>
          </cell>
          <cell r="K1423" t="str">
            <v>₪</v>
          </cell>
          <cell r="M1423" t="str">
            <v>יח'</v>
          </cell>
        </row>
        <row r="1424">
          <cell r="B1424" t="str">
            <v>M3*2D FREE 3279-202</v>
          </cell>
          <cell r="C1424">
            <v>44628</v>
          </cell>
          <cell r="D1424">
            <v>1</v>
          </cell>
          <cell r="E1424" t="str">
            <v>קשיח</v>
          </cell>
          <cell r="F1424" t="str">
            <v>01.0441</v>
          </cell>
          <cell r="G1424">
            <v>46049</v>
          </cell>
          <cell r="H1424" t="str">
            <v>01.0441</v>
          </cell>
          <cell r="I1424" t="str">
            <v>דר טכנולוגיות בע"מ</v>
          </cell>
          <cell r="J1424">
            <v>0.6</v>
          </cell>
          <cell r="K1424" t="str">
            <v>₪</v>
          </cell>
          <cell r="L1424">
            <v>2000</v>
          </cell>
          <cell r="M1424" t="str">
            <v>יח'</v>
          </cell>
          <cell r="N1424">
            <v>1200</v>
          </cell>
        </row>
        <row r="1425">
          <cell r="B1425" t="str">
            <v>M3*2D FREE</v>
          </cell>
          <cell r="C1425">
            <v>29191</v>
          </cell>
          <cell r="D1425">
            <v>1</v>
          </cell>
          <cell r="E1425" t="str">
            <v>קשיח</v>
          </cell>
          <cell r="F1425" t="str">
            <v>01.0441</v>
          </cell>
          <cell r="G1425">
            <v>44378</v>
          </cell>
          <cell r="H1425" t="str">
            <v>01.0441</v>
          </cell>
          <cell r="I1425" t="str">
            <v>לוונשטיין טכנולוגיות</v>
          </cell>
          <cell r="J1425">
            <v>0.6</v>
          </cell>
          <cell r="K1425" t="str">
            <v>₪</v>
          </cell>
          <cell r="L1425">
            <v>2000</v>
          </cell>
          <cell r="M1425" t="str">
            <v>יח'</v>
          </cell>
          <cell r="N1425">
            <v>1200</v>
          </cell>
        </row>
        <row r="1426">
          <cell r="B1426" t="str">
            <v>M3*2D FREE 3279-202</v>
          </cell>
          <cell r="C1426">
            <v>28797</v>
          </cell>
          <cell r="D1426">
            <v>1</v>
          </cell>
          <cell r="E1426" t="str">
            <v>קשיח</v>
          </cell>
          <cell r="F1426" t="str">
            <v>01.0441</v>
          </cell>
          <cell r="G1426">
            <v>44326</v>
          </cell>
          <cell r="H1426" t="str">
            <v>01.0441</v>
          </cell>
          <cell r="I1426" t="str">
            <v>לוונשטיין טכנולוגיות</v>
          </cell>
          <cell r="J1426">
            <v>0.39500000000000002</v>
          </cell>
          <cell r="K1426" t="str">
            <v>₪</v>
          </cell>
          <cell r="L1426">
            <v>2000</v>
          </cell>
          <cell r="M1426" t="str">
            <v>יח'</v>
          </cell>
          <cell r="N1426">
            <v>790</v>
          </cell>
        </row>
        <row r="1427">
          <cell r="B1427" t="str">
            <v>M3*2D FREE</v>
          </cell>
          <cell r="C1427">
            <v>26266</v>
          </cell>
          <cell r="D1427">
            <v>1</v>
          </cell>
          <cell r="E1427" t="str">
            <v>קשיח</v>
          </cell>
          <cell r="F1427" t="str">
            <v>01.0441</v>
          </cell>
          <cell r="G1427">
            <v>43983</v>
          </cell>
          <cell r="H1427" t="str">
            <v>01.0441</v>
          </cell>
          <cell r="I1427" t="str">
            <v>לוונשטיין טכנולוגיות</v>
          </cell>
          <cell r="J1427">
            <v>0.5</v>
          </cell>
          <cell r="K1427" t="str">
            <v>₪</v>
          </cell>
          <cell r="L1427">
            <v>500</v>
          </cell>
          <cell r="M1427" t="str">
            <v>יח'</v>
          </cell>
          <cell r="N1427">
            <v>250</v>
          </cell>
        </row>
        <row r="1428">
          <cell r="B1428" t="str">
            <v>M3*2D FREE</v>
          </cell>
          <cell r="C1428">
            <v>25717</v>
          </cell>
          <cell r="D1428">
            <v>1</v>
          </cell>
          <cell r="E1428" t="str">
            <v>קשיח</v>
          </cell>
          <cell r="F1428" t="str">
            <v>01.0441</v>
          </cell>
          <cell r="G1428">
            <v>43887</v>
          </cell>
          <cell r="H1428" t="str">
            <v>01.0441</v>
          </cell>
          <cell r="I1428" t="str">
            <v>דר טכנולוגיות בע"מ</v>
          </cell>
          <cell r="J1428">
            <v>0</v>
          </cell>
          <cell r="K1428" t="str">
            <v>₪</v>
          </cell>
          <cell r="M1428" t="str">
            <v>יח'</v>
          </cell>
        </row>
        <row r="1429">
          <cell r="B1429" t="str">
            <v>INSERT LN9499-02060</v>
          </cell>
          <cell r="C1429">
            <v>21699</v>
          </cell>
          <cell r="D1429">
            <v>1</v>
          </cell>
          <cell r="E1429" t="str">
            <v>קשיח</v>
          </cell>
          <cell r="F1429" t="str">
            <v>01.0442</v>
          </cell>
          <cell r="G1429">
            <v>43341</v>
          </cell>
          <cell r="H1429" t="str">
            <v>01.0442</v>
          </cell>
          <cell r="I1429" t="str">
            <v>גין מהנדסים בע"מ</v>
          </cell>
          <cell r="J1429">
            <v>0</v>
          </cell>
          <cell r="K1429" t="str">
            <v>₪</v>
          </cell>
          <cell r="M1429" t="str">
            <v>יח'</v>
          </cell>
        </row>
        <row r="1430">
          <cell r="B1430" t="str">
            <v>LOCTITE 270</v>
          </cell>
          <cell r="C1430">
            <v>44550</v>
          </cell>
          <cell r="D1430">
            <v>1</v>
          </cell>
          <cell r="E1430" t="str">
            <v>קשיח</v>
          </cell>
          <cell r="F1430" t="str">
            <v>01.0446</v>
          </cell>
          <cell r="G1430">
            <v>46043</v>
          </cell>
          <cell r="H1430" t="str">
            <v>01.0446</v>
          </cell>
          <cell r="I1430" t="str">
            <v>מאור גבריאלי הספקה ט</v>
          </cell>
          <cell r="J1430">
            <v>270</v>
          </cell>
          <cell r="K1430" t="str">
            <v>₪</v>
          </cell>
          <cell r="L1430">
            <v>1</v>
          </cell>
          <cell r="M1430" t="str">
            <v>יח'</v>
          </cell>
          <cell r="N1430">
            <v>270</v>
          </cell>
        </row>
        <row r="1431">
          <cell r="B1431" t="str">
            <v>LOCTITE 270</v>
          </cell>
          <cell r="C1431">
            <v>21588</v>
          </cell>
          <cell r="D1431">
            <v>1</v>
          </cell>
          <cell r="E1431" t="str">
            <v>קשיח</v>
          </cell>
          <cell r="F1431" t="str">
            <v>01.0446</v>
          </cell>
          <cell r="G1431">
            <v>43327</v>
          </cell>
          <cell r="H1431" t="str">
            <v>01.0446</v>
          </cell>
          <cell r="I1431" t="str">
            <v>מאור גבריאלי הספקה ט</v>
          </cell>
          <cell r="J1431">
            <v>220</v>
          </cell>
          <cell r="K1431" t="str">
            <v>₪</v>
          </cell>
          <cell r="L1431">
            <v>1</v>
          </cell>
          <cell r="M1431" t="str">
            <v>יח'</v>
          </cell>
          <cell r="N1431">
            <v>220</v>
          </cell>
        </row>
        <row r="1432">
          <cell r="B1432" t="str">
            <v>M6*1 FR 2D  / 3279-206</v>
          </cell>
          <cell r="C1432">
            <v>35845</v>
          </cell>
          <cell r="D1432">
            <v>5</v>
          </cell>
          <cell r="E1432" t="str">
            <v>קשיח</v>
          </cell>
          <cell r="F1432" t="str">
            <v>01.0449</v>
          </cell>
          <cell r="G1432">
            <v>45278</v>
          </cell>
          <cell r="H1432" t="str">
            <v>01.0449</v>
          </cell>
          <cell r="I1432" t="str">
            <v>לוונשטיין טכנולוגיות בע"מ</v>
          </cell>
          <cell r="J1432">
            <v>0.65</v>
          </cell>
          <cell r="K1432" t="str">
            <v>₪</v>
          </cell>
          <cell r="L1432">
            <v>1000</v>
          </cell>
          <cell r="M1432" t="str">
            <v>יח'</v>
          </cell>
          <cell r="N1432">
            <v>650</v>
          </cell>
        </row>
        <row r="1433">
          <cell r="B1433" t="str">
            <v>M6*1 FR 2D  / 3279-206</v>
          </cell>
          <cell r="C1433">
            <v>35465</v>
          </cell>
          <cell r="D1433">
            <v>1</v>
          </cell>
          <cell r="E1433" t="str">
            <v>קשיח</v>
          </cell>
          <cell r="F1433" t="str">
            <v>01.0449</v>
          </cell>
          <cell r="G1433">
            <v>45235</v>
          </cell>
          <cell r="H1433" t="str">
            <v>01.0449</v>
          </cell>
          <cell r="I1433" t="str">
            <v>לוונשטיין טכנולוגיות בע"מ</v>
          </cell>
          <cell r="J1433">
            <v>0.65</v>
          </cell>
          <cell r="K1433" t="str">
            <v>₪</v>
          </cell>
          <cell r="L1433">
            <v>1000</v>
          </cell>
          <cell r="M1433" t="str">
            <v>יח'</v>
          </cell>
          <cell r="N1433">
            <v>650</v>
          </cell>
        </row>
        <row r="1434">
          <cell r="B1434" t="str">
            <v>M6*1 FR 2D  / 3279-206</v>
          </cell>
          <cell r="C1434">
            <v>34038</v>
          </cell>
          <cell r="D1434">
            <v>2</v>
          </cell>
          <cell r="E1434" t="str">
            <v>קשיח</v>
          </cell>
          <cell r="F1434" t="str">
            <v>01.0449</v>
          </cell>
          <cell r="G1434">
            <v>45070</v>
          </cell>
          <cell r="H1434" t="str">
            <v>01.0449</v>
          </cell>
          <cell r="I1434" t="str">
            <v>לוונשטיין טכנולוגיות בע"מ</v>
          </cell>
          <cell r="J1434">
            <v>0.65</v>
          </cell>
          <cell r="K1434" t="str">
            <v>₪</v>
          </cell>
          <cell r="L1434">
            <v>1000</v>
          </cell>
          <cell r="M1434" t="str">
            <v>יח'</v>
          </cell>
          <cell r="N1434">
            <v>650</v>
          </cell>
        </row>
        <row r="1435">
          <cell r="B1435" t="str">
            <v>M6*1 FR 2D  / 3279-206</v>
          </cell>
          <cell r="C1435">
            <v>28246</v>
          </cell>
          <cell r="D1435">
            <v>1</v>
          </cell>
          <cell r="E1435" t="str">
            <v>קשיח</v>
          </cell>
          <cell r="F1435" t="str">
            <v>01.0449</v>
          </cell>
          <cell r="G1435">
            <v>44248</v>
          </cell>
          <cell r="H1435" t="str">
            <v>01.0449</v>
          </cell>
          <cell r="I1435" t="str">
            <v>לוונשטיין טכנולוגיות</v>
          </cell>
          <cell r="J1435">
            <v>0.6</v>
          </cell>
          <cell r="K1435" t="str">
            <v>₪</v>
          </cell>
          <cell r="L1435">
            <v>1000</v>
          </cell>
          <cell r="M1435" t="str">
            <v>יח'</v>
          </cell>
          <cell r="N1435">
            <v>600</v>
          </cell>
        </row>
        <row r="1436">
          <cell r="B1436" t="str">
            <v>MS 51831-108 /KNH1011J/217-076308</v>
          </cell>
          <cell r="C1436">
            <v>27223</v>
          </cell>
          <cell r="D1436">
            <v>1</v>
          </cell>
          <cell r="E1436" t="str">
            <v>קשיח</v>
          </cell>
          <cell r="F1436" t="str">
            <v>01.0450</v>
          </cell>
          <cell r="G1436">
            <v>44108</v>
          </cell>
          <cell r="H1436" t="str">
            <v>01.0450</v>
          </cell>
          <cell r="I1436" t="str">
            <v>ברמיל בע"מ</v>
          </cell>
          <cell r="J1436">
            <v>0</v>
          </cell>
          <cell r="K1436" t="str">
            <v>₪</v>
          </cell>
          <cell r="M1436" t="str">
            <v>יח'</v>
          </cell>
        </row>
        <row r="1437">
          <cell r="B1437" t="str">
            <v>MS 51831-108</v>
          </cell>
          <cell r="C1437">
            <v>23246</v>
          </cell>
          <cell r="D1437">
            <v>2</v>
          </cell>
          <cell r="E1437" t="str">
            <v>קשיח</v>
          </cell>
          <cell r="F1437" t="str">
            <v>01.0450</v>
          </cell>
          <cell r="G1437">
            <v>43541</v>
          </cell>
          <cell r="H1437" t="str">
            <v>01.0450</v>
          </cell>
          <cell r="I1437" t="str">
            <v>ברמיל בע"מ</v>
          </cell>
          <cell r="J1437">
            <v>27</v>
          </cell>
          <cell r="K1437" t="str">
            <v>₪</v>
          </cell>
          <cell r="L1437">
            <v>50</v>
          </cell>
          <cell r="M1437" t="str">
            <v>יח'</v>
          </cell>
          <cell r="N1437">
            <v>1350</v>
          </cell>
        </row>
        <row r="1438">
          <cell r="B1438" t="str">
            <v>LOCTITE 635</v>
          </cell>
          <cell r="C1438">
            <v>30162</v>
          </cell>
          <cell r="D1438">
            <v>3</v>
          </cell>
          <cell r="E1438" t="str">
            <v>קשיח</v>
          </cell>
          <cell r="F1438" t="str">
            <v>01.0451</v>
          </cell>
          <cell r="G1438">
            <v>44510</v>
          </cell>
          <cell r="H1438" t="str">
            <v>01.0451</v>
          </cell>
          <cell r="I1438" t="str">
            <v>מאור גבריאלי הספקה ט</v>
          </cell>
          <cell r="J1438">
            <v>0</v>
          </cell>
          <cell r="K1438" t="str">
            <v>₪</v>
          </cell>
          <cell r="M1438" t="str">
            <v>יח'</v>
          </cell>
        </row>
        <row r="1439">
          <cell r="B1439" t="str">
            <v>MS21209F5-15P</v>
          </cell>
          <cell r="C1439">
            <v>21814</v>
          </cell>
          <cell r="D1439">
            <v>1</v>
          </cell>
          <cell r="E1439" t="str">
            <v>קשיח</v>
          </cell>
          <cell r="F1439" t="str">
            <v>01.0458</v>
          </cell>
          <cell r="G1439">
            <v>43369</v>
          </cell>
          <cell r="H1439" t="str">
            <v>01.0458</v>
          </cell>
          <cell r="I1439" t="str">
            <v>גין מהנדסים בע"מ</v>
          </cell>
          <cell r="J1439">
            <v>0</v>
          </cell>
          <cell r="K1439" t="str">
            <v>₪</v>
          </cell>
          <cell r="M1439" t="str">
            <v>יח'</v>
          </cell>
        </row>
        <row r="1440">
          <cell r="B1440" t="str">
            <v>M8*1.25 2D</v>
          </cell>
          <cell r="C1440">
            <v>25615</v>
          </cell>
          <cell r="D1440">
            <v>2</v>
          </cell>
          <cell r="E1440" t="str">
            <v>קשיח</v>
          </cell>
          <cell r="F1440" t="str">
            <v>01.0463</v>
          </cell>
          <cell r="G1440">
            <v>43872</v>
          </cell>
          <cell r="H1440" t="str">
            <v>01.0463</v>
          </cell>
          <cell r="I1440" t="str">
            <v>ברמיל בע"מ</v>
          </cell>
          <cell r="J1440">
            <v>0.55000000000000004</v>
          </cell>
          <cell r="K1440" t="str">
            <v>₪</v>
          </cell>
          <cell r="L1440">
            <v>200</v>
          </cell>
          <cell r="M1440" t="str">
            <v>יח'</v>
          </cell>
          <cell r="N1440">
            <v>110.00000000000001</v>
          </cell>
        </row>
        <row r="1441">
          <cell r="B1441" t="str">
            <v>מנדרל ידני  UNF 6-40</v>
          </cell>
          <cell r="C1441">
            <v>22571</v>
          </cell>
          <cell r="D1441">
            <v>1</v>
          </cell>
          <cell r="E1441" t="str">
            <v>קשיח</v>
          </cell>
          <cell r="F1441" t="str">
            <v>01.0468</v>
          </cell>
          <cell r="G1441">
            <v>43471</v>
          </cell>
          <cell r="H1441" t="str">
            <v>01.0468</v>
          </cell>
          <cell r="I1441" t="str">
            <v>גין מהנדסים בע"מ</v>
          </cell>
          <cell r="J1441">
            <v>380</v>
          </cell>
          <cell r="K1441" t="str">
            <v>₪</v>
          </cell>
          <cell r="L1441">
            <v>1</v>
          </cell>
          <cell r="M1441" t="str">
            <v>יח'</v>
          </cell>
          <cell r="N1441">
            <v>380</v>
          </cell>
        </row>
        <row r="1442">
          <cell r="B1442" t="str">
            <v>1185-02CW086</v>
          </cell>
          <cell r="C1442">
            <v>22972</v>
          </cell>
          <cell r="D1442">
            <v>1</v>
          </cell>
          <cell r="E1442" t="str">
            <v>קשיח</v>
          </cell>
          <cell r="F1442" t="str">
            <v>01.0470</v>
          </cell>
          <cell r="G1442">
            <v>43513</v>
          </cell>
          <cell r="H1442" t="str">
            <v>01.0470</v>
          </cell>
          <cell r="I1442" t="str">
            <v>דר טכנולוגיות בע"מ</v>
          </cell>
          <cell r="J1442">
            <v>0</v>
          </cell>
          <cell r="K1442" t="str">
            <v>₪</v>
          </cell>
          <cell r="M1442" t="str">
            <v>יח'</v>
          </cell>
        </row>
        <row r="1443">
          <cell r="B1443" t="str">
            <v>MS 51830-104L/KNCAL0832J</v>
          </cell>
          <cell r="C1443">
            <v>23118</v>
          </cell>
          <cell r="D1443">
            <v>2</v>
          </cell>
          <cell r="E1443" t="str">
            <v>קשיח</v>
          </cell>
          <cell r="F1443" t="str">
            <v>01.0471</v>
          </cell>
          <cell r="G1443">
            <v>43529</v>
          </cell>
          <cell r="H1443" t="str">
            <v>01.0471</v>
          </cell>
          <cell r="I1443" t="str">
            <v>ברמיל בע"מ</v>
          </cell>
          <cell r="J1443">
            <v>5.57</v>
          </cell>
          <cell r="K1443" t="str">
            <v>₪</v>
          </cell>
          <cell r="L1443">
            <v>500</v>
          </cell>
          <cell r="M1443" t="str">
            <v>יח'</v>
          </cell>
          <cell r="N1443">
            <v>2785</v>
          </cell>
        </row>
        <row r="1444">
          <cell r="B1444" t="str">
            <v>8140M5 L=5  3329-105  SELF LOCKING</v>
          </cell>
          <cell r="C1444">
            <v>40568</v>
          </cell>
          <cell r="D1444">
            <v>1</v>
          </cell>
          <cell r="E1444" t="str">
            <v>קשיח</v>
          </cell>
          <cell r="F1444" t="str">
            <v>01.0472</v>
          </cell>
          <cell r="G1444">
            <v>45767</v>
          </cell>
          <cell r="H1444" t="str">
            <v>01.0472</v>
          </cell>
          <cell r="I1444" t="str">
            <v>דר טכנולוגיות בע"מ</v>
          </cell>
          <cell r="J1444">
            <v>0.55000000000000004</v>
          </cell>
          <cell r="K1444" t="str">
            <v>₪</v>
          </cell>
          <cell r="L1444">
            <v>600</v>
          </cell>
          <cell r="M1444" t="str">
            <v>יח'</v>
          </cell>
          <cell r="N1444">
            <v>330</v>
          </cell>
        </row>
        <row r="1445">
          <cell r="B1445" t="str">
            <v>8140M5 L=5  3329-105  SELF LOCKING</v>
          </cell>
          <cell r="C1445">
            <v>37733</v>
          </cell>
          <cell r="D1445">
            <v>1</v>
          </cell>
          <cell r="E1445" t="str">
            <v>קשיח</v>
          </cell>
          <cell r="F1445" t="str">
            <v>01.0472</v>
          </cell>
          <cell r="G1445">
            <v>45487</v>
          </cell>
          <cell r="H1445" t="str">
            <v>01.0472</v>
          </cell>
          <cell r="I1445" t="str">
            <v>דר טכנולוגיות בע"מ</v>
          </cell>
          <cell r="J1445">
            <v>0.55000000000000004</v>
          </cell>
          <cell r="K1445" t="str">
            <v>₪</v>
          </cell>
          <cell r="L1445">
            <v>1500</v>
          </cell>
          <cell r="M1445" t="str">
            <v>יח'</v>
          </cell>
          <cell r="N1445">
            <v>825.00000000000011</v>
          </cell>
        </row>
        <row r="1446">
          <cell r="B1446" t="str">
            <v>M5 L=5 SELF LOCKING</v>
          </cell>
          <cell r="C1446">
            <v>23193</v>
          </cell>
          <cell r="D1446">
            <v>1</v>
          </cell>
          <cell r="E1446" t="str">
            <v>קשיח</v>
          </cell>
          <cell r="F1446" t="str">
            <v>01.0472</v>
          </cell>
          <cell r="G1446">
            <v>43536</v>
          </cell>
          <cell r="H1446" t="str">
            <v>01.0472</v>
          </cell>
          <cell r="I1446" t="str">
            <v>דר טכנולוגיות בע"מ</v>
          </cell>
          <cell r="J1446">
            <v>0.39</v>
          </cell>
          <cell r="K1446" t="str">
            <v>₪</v>
          </cell>
          <cell r="L1446">
            <v>300</v>
          </cell>
          <cell r="M1446" t="str">
            <v>יח'</v>
          </cell>
          <cell r="N1446">
            <v>117</v>
          </cell>
        </row>
        <row r="1447">
          <cell r="B1447" t="str">
            <v>M6 L=9 SELF LOCKING</v>
          </cell>
          <cell r="C1447">
            <v>23193</v>
          </cell>
          <cell r="D1447">
            <v>2</v>
          </cell>
          <cell r="E1447" t="str">
            <v>קשיח</v>
          </cell>
          <cell r="F1447" t="str">
            <v>01.0473</v>
          </cell>
          <cell r="G1447">
            <v>43536</v>
          </cell>
          <cell r="H1447" t="str">
            <v>01.0473</v>
          </cell>
          <cell r="I1447" t="str">
            <v>דר טכנולוגיות בע"מ</v>
          </cell>
          <cell r="J1447">
            <v>0.48</v>
          </cell>
          <cell r="K1447" t="str">
            <v>₪</v>
          </cell>
          <cell r="L1447">
            <v>300</v>
          </cell>
          <cell r="M1447" t="str">
            <v>יח'</v>
          </cell>
          <cell r="N1447">
            <v>144</v>
          </cell>
        </row>
        <row r="1448">
          <cell r="B1448" t="str">
            <v>M3 L=3mm SELF LOCKING</v>
          </cell>
          <cell r="C1448">
            <v>23193</v>
          </cell>
          <cell r="D1448">
            <v>3</v>
          </cell>
          <cell r="E1448" t="str">
            <v>קשיח</v>
          </cell>
          <cell r="F1448" t="str">
            <v>01.0474</v>
          </cell>
          <cell r="G1448">
            <v>43536</v>
          </cell>
          <cell r="H1448" t="str">
            <v>01.0474</v>
          </cell>
          <cell r="I1448" t="str">
            <v>דר טכנולוגיות בע"מ</v>
          </cell>
          <cell r="J1448">
            <v>0.48</v>
          </cell>
          <cell r="K1448" t="str">
            <v>₪</v>
          </cell>
          <cell r="L1448">
            <v>300</v>
          </cell>
          <cell r="M1448" t="str">
            <v>יח'</v>
          </cell>
          <cell r="N1448">
            <v>144</v>
          </cell>
        </row>
        <row r="1449">
          <cell r="B1449" t="str">
            <v>M8  L=8 SELF LOCKING</v>
          </cell>
          <cell r="C1449">
            <v>23193</v>
          </cell>
          <cell r="D1449">
            <v>4</v>
          </cell>
          <cell r="E1449" t="str">
            <v>קשיח</v>
          </cell>
          <cell r="F1449" t="str">
            <v>01.0475</v>
          </cell>
          <cell r="G1449">
            <v>43536</v>
          </cell>
          <cell r="H1449" t="str">
            <v>01.0475</v>
          </cell>
          <cell r="I1449" t="str">
            <v>דר טכנולוגיות בע"מ</v>
          </cell>
          <cell r="J1449">
            <v>0.55000000000000004</v>
          </cell>
          <cell r="K1449" t="str">
            <v>₪</v>
          </cell>
          <cell r="L1449">
            <v>300</v>
          </cell>
          <cell r="M1449" t="str">
            <v>יח'</v>
          </cell>
          <cell r="N1449">
            <v>165</v>
          </cell>
        </row>
        <row r="1450">
          <cell r="B1450" t="str">
            <v>M4  L=4mm SELF LOCKING</v>
          </cell>
          <cell r="C1450">
            <v>23193</v>
          </cell>
          <cell r="D1450">
            <v>5</v>
          </cell>
          <cell r="E1450" t="str">
            <v>קשיח</v>
          </cell>
          <cell r="F1450" t="str">
            <v>01.0476</v>
          </cell>
          <cell r="G1450">
            <v>43536</v>
          </cell>
          <cell r="H1450" t="str">
            <v>01.0476</v>
          </cell>
          <cell r="I1450" t="str">
            <v>דר טכנולוגיות בע"מ</v>
          </cell>
          <cell r="J1450">
            <v>0.44</v>
          </cell>
          <cell r="K1450" t="str">
            <v>₪</v>
          </cell>
          <cell r="L1450">
            <v>300</v>
          </cell>
          <cell r="M1450" t="str">
            <v>יח'</v>
          </cell>
          <cell r="N1450">
            <v>132</v>
          </cell>
        </row>
        <row r="1451">
          <cell r="B1451" t="str">
            <v>M4  L=6 SELF LOCKING</v>
          </cell>
          <cell r="C1451">
            <v>23193</v>
          </cell>
          <cell r="D1451">
            <v>6</v>
          </cell>
          <cell r="E1451" t="str">
            <v>קשיח</v>
          </cell>
          <cell r="F1451" t="str">
            <v>01.0477</v>
          </cell>
          <cell r="G1451">
            <v>43536</v>
          </cell>
          <cell r="H1451" t="str">
            <v>01.0477</v>
          </cell>
          <cell r="I1451" t="str">
            <v>דר טכנולוגיות בע"מ</v>
          </cell>
          <cell r="J1451">
            <v>0.5</v>
          </cell>
          <cell r="K1451" t="str">
            <v>₪</v>
          </cell>
          <cell r="L1451">
            <v>300</v>
          </cell>
          <cell r="M1451" t="str">
            <v>יח'</v>
          </cell>
          <cell r="N1451">
            <v>150</v>
          </cell>
        </row>
        <row r="1452">
          <cell r="B1452" t="str">
            <v>מנדרל M3*0.5  למכונה</v>
          </cell>
          <cell r="C1452">
            <v>23240</v>
          </cell>
          <cell r="D1452">
            <v>1</v>
          </cell>
          <cell r="E1452" t="str">
            <v>קשיח</v>
          </cell>
          <cell r="F1452" t="str">
            <v>01.0478</v>
          </cell>
          <cell r="G1452">
            <v>43541</v>
          </cell>
          <cell r="H1452" t="str">
            <v>01.0478</v>
          </cell>
          <cell r="I1452" t="str">
            <v>דר טכנולוגיות בע"מ</v>
          </cell>
          <cell r="J1452">
            <v>250</v>
          </cell>
          <cell r="K1452" t="str">
            <v>₪</v>
          </cell>
          <cell r="L1452">
            <v>2</v>
          </cell>
          <cell r="M1452" t="str">
            <v>יח'</v>
          </cell>
          <cell r="N1452">
            <v>500</v>
          </cell>
        </row>
        <row r="1453">
          <cell r="B1453" t="str">
            <v>מנדרל החדרה 4-40 למכונה פנאומטית</v>
          </cell>
          <cell r="C1453">
            <v>38562</v>
          </cell>
          <cell r="D1453">
            <v>2</v>
          </cell>
          <cell r="E1453" t="str">
            <v>קשיח</v>
          </cell>
          <cell r="F1453" t="str">
            <v>01.0480</v>
          </cell>
          <cell r="G1453">
            <v>45579</v>
          </cell>
          <cell r="H1453" t="str">
            <v>01.0480</v>
          </cell>
          <cell r="I1453" t="str">
            <v>לוונשטיין טכנולוגיות בע"מ</v>
          </cell>
          <cell r="J1453">
            <v>182.08</v>
          </cell>
          <cell r="K1453" t="str">
            <v>₪</v>
          </cell>
          <cell r="L1453">
            <v>3</v>
          </cell>
          <cell r="M1453" t="str">
            <v>יח'</v>
          </cell>
          <cell r="N1453">
            <v>546.24</v>
          </cell>
        </row>
        <row r="1454">
          <cell r="B1454" t="str">
            <v>מנדרל החדרה 4-40 למכונה פנאומטית</v>
          </cell>
          <cell r="C1454">
            <v>33803</v>
          </cell>
          <cell r="D1454">
            <v>1</v>
          </cell>
          <cell r="E1454" t="str">
            <v>קשיח</v>
          </cell>
          <cell r="F1454" t="str">
            <v>01.0480</v>
          </cell>
          <cell r="G1454">
            <v>45043</v>
          </cell>
          <cell r="H1454" t="str">
            <v>01.0480</v>
          </cell>
          <cell r="I1454" t="str">
            <v>דר טכנולוגיות בע"מ</v>
          </cell>
          <cell r="J1454">
            <v>500</v>
          </cell>
          <cell r="K1454" t="str">
            <v>₪</v>
          </cell>
          <cell r="L1454">
            <v>3</v>
          </cell>
          <cell r="M1454" t="str">
            <v>יח'</v>
          </cell>
          <cell r="N1454">
            <v>1500</v>
          </cell>
        </row>
        <row r="1455">
          <cell r="B1455" t="str">
            <v>מנדרל החדרה 4-40 למכונה פנאומטית</v>
          </cell>
          <cell r="C1455">
            <v>23587</v>
          </cell>
          <cell r="D1455">
            <v>2</v>
          </cell>
          <cell r="E1455" t="str">
            <v>קשיח</v>
          </cell>
          <cell r="F1455" t="str">
            <v>01.0480</v>
          </cell>
          <cell r="G1455">
            <v>43584</v>
          </cell>
          <cell r="H1455" t="str">
            <v>01.0480</v>
          </cell>
          <cell r="I1455" t="str">
            <v>דר טכנולוגיות בע"מ</v>
          </cell>
          <cell r="J1455">
            <v>250</v>
          </cell>
          <cell r="K1455" t="str">
            <v>₪</v>
          </cell>
          <cell r="L1455">
            <v>2</v>
          </cell>
          <cell r="M1455" t="str">
            <v>יח'</v>
          </cell>
          <cell r="N1455">
            <v>500</v>
          </cell>
        </row>
        <row r="1456">
          <cell r="B1456" t="str">
            <v>M2*1D TANGLESS</v>
          </cell>
          <cell r="C1456">
            <v>23985</v>
          </cell>
          <cell r="D1456">
            <v>1</v>
          </cell>
          <cell r="E1456" t="str">
            <v>קשיח</v>
          </cell>
          <cell r="F1456" t="str">
            <v>01.0482</v>
          </cell>
          <cell r="G1456">
            <v>43629</v>
          </cell>
          <cell r="H1456" t="str">
            <v>01.0482</v>
          </cell>
          <cell r="I1456" t="str">
            <v>דר טכנולוגיות בע"מ</v>
          </cell>
          <cell r="J1456">
            <v>1</v>
          </cell>
          <cell r="K1456" t="str">
            <v>₪</v>
          </cell>
          <cell r="L1456">
            <v>300</v>
          </cell>
          <cell r="M1456" t="str">
            <v>יח'</v>
          </cell>
          <cell r="N1456">
            <v>300</v>
          </cell>
        </row>
        <row r="1457">
          <cell r="B1457" t="str">
            <v>MS122085</v>
          </cell>
          <cell r="C1457">
            <v>39309</v>
          </cell>
          <cell r="D1457">
            <v>1</v>
          </cell>
          <cell r="E1457" t="str">
            <v>קשיח</v>
          </cell>
          <cell r="F1457" t="str">
            <v>01.0483</v>
          </cell>
          <cell r="G1457">
            <v>45655</v>
          </cell>
          <cell r="H1457" t="str">
            <v>01.0483</v>
          </cell>
          <cell r="I1457" t="str">
            <v>גין מהנדסים בע"מ</v>
          </cell>
          <cell r="J1457">
            <v>3</v>
          </cell>
          <cell r="K1457" t="str">
            <v>₪</v>
          </cell>
          <cell r="L1457">
            <v>500</v>
          </cell>
          <cell r="M1457" t="str">
            <v>יח'</v>
          </cell>
          <cell r="N1457">
            <v>1500</v>
          </cell>
        </row>
        <row r="1458">
          <cell r="B1458" t="str">
            <v>MS122085</v>
          </cell>
          <cell r="C1458">
            <v>24178</v>
          </cell>
          <cell r="D1458">
            <v>2</v>
          </cell>
          <cell r="E1458" t="str">
            <v>קשיח</v>
          </cell>
          <cell r="F1458" t="str">
            <v>01.0483</v>
          </cell>
          <cell r="G1458">
            <v>43654</v>
          </cell>
          <cell r="H1458" t="str">
            <v>01.0483</v>
          </cell>
          <cell r="I1458" t="str">
            <v>ברמיל בע"מ</v>
          </cell>
          <cell r="J1458">
            <v>1.1000000000000001</v>
          </cell>
          <cell r="K1458" t="str">
            <v>₪</v>
          </cell>
          <cell r="L1458">
            <v>100</v>
          </cell>
          <cell r="M1458" t="str">
            <v>יח'</v>
          </cell>
          <cell r="N1458">
            <v>110.00000000000001</v>
          </cell>
        </row>
        <row r="1459">
          <cell r="B1459" t="str">
            <v>Pin parallel ISO2338 dia 4.0M6X10MM SS</v>
          </cell>
          <cell r="C1459">
            <v>24274</v>
          </cell>
          <cell r="D1459">
            <v>2</v>
          </cell>
          <cell r="E1459" t="str">
            <v>קשיח</v>
          </cell>
          <cell r="F1459" t="str">
            <v>01.0485</v>
          </cell>
          <cell r="G1459">
            <v>43662</v>
          </cell>
          <cell r="H1459" t="str">
            <v>01.0485</v>
          </cell>
          <cell r="I1459" t="str">
            <v>ברמיל בע"מ</v>
          </cell>
          <cell r="J1459">
            <v>0.9</v>
          </cell>
          <cell r="K1459" t="str">
            <v>₪</v>
          </cell>
          <cell r="L1459">
            <v>100</v>
          </cell>
          <cell r="M1459" t="str">
            <v>יח'</v>
          </cell>
          <cell r="N1459">
            <v>90</v>
          </cell>
        </row>
        <row r="1460">
          <cell r="B1460" t="str">
            <v>PIN MS16555-625</v>
          </cell>
          <cell r="C1460">
            <v>24353</v>
          </cell>
          <cell r="D1460">
            <v>2</v>
          </cell>
          <cell r="E1460" t="str">
            <v>קשיח</v>
          </cell>
          <cell r="F1460" t="str">
            <v>01.0486</v>
          </cell>
          <cell r="G1460">
            <v>43671</v>
          </cell>
          <cell r="H1460" t="str">
            <v>01.0486</v>
          </cell>
          <cell r="I1460" t="str">
            <v>גין מהנדסים בע"מ</v>
          </cell>
          <cell r="J1460">
            <v>3</v>
          </cell>
          <cell r="K1460" t="str">
            <v>₪</v>
          </cell>
          <cell r="L1460">
            <v>50</v>
          </cell>
          <cell r="M1460" t="str">
            <v>יח'</v>
          </cell>
          <cell r="N1460">
            <v>150</v>
          </cell>
        </row>
        <row r="1461">
          <cell r="B1461" t="str">
            <v>PIN MS9390-170</v>
          </cell>
          <cell r="C1461">
            <v>24355</v>
          </cell>
          <cell r="D1461">
            <v>1</v>
          </cell>
          <cell r="E1461" t="str">
            <v>קשיח</v>
          </cell>
          <cell r="F1461" t="str">
            <v>01.0487</v>
          </cell>
          <cell r="G1461">
            <v>43671</v>
          </cell>
          <cell r="H1461" t="str">
            <v>01.0487</v>
          </cell>
          <cell r="I1461" t="str">
            <v>גין מהנדסים בע"מ</v>
          </cell>
          <cell r="J1461">
            <v>16</v>
          </cell>
          <cell r="K1461" t="str">
            <v>₪</v>
          </cell>
          <cell r="L1461">
            <v>30</v>
          </cell>
          <cell r="M1461" t="str">
            <v>יח'</v>
          </cell>
          <cell r="N1461">
            <v>480</v>
          </cell>
        </row>
        <row r="1462">
          <cell r="B1462" t="str">
            <v>מנדרל למברגה ידנית 3/8-16</v>
          </cell>
          <cell r="C1462">
            <v>27199</v>
          </cell>
          <cell r="D1462">
            <v>6</v>
          </cell>
          <cell r="E1462" t="str">
            <v>קשיח</v>
          </cell>
          <cell r="F1462" t="str">
            <v>01.0489</v>
          </cell>
          <cell r="G1462">
            <v>44104</v>
          </cell>
          <cell r="H1462" t="str">
            <v>01.0489</v>
          </cell>
          <cell r="I1462" t="str">
            <v>לוונשטיין טכנולוגיות</v>
          </cell>
          <cell r="J1462">
            <v>340</v>
          </cell>
          <cell r="K1462" t="str">
            <v>₪</v>
          </cell>
          <cell r="L1462">
            <v>1</v>
          </cell>
          <cell r="M1462" t="str">
            <v>יח'</v>
          </cell>
          <cell r="N1462">
            <v>340</v>
          </cell>
        </row>
        <row r="1463">
          <cell r="B1463" t="str">
            <v>מנדרל למברגה ידנית 3/8-16</v>
          </cell>
          <cell r="C1463">
            <v>24426</v>
          </cell>
          <cell r="D1463">
            <v>1</v>
          </cell>
          <cell r="E1463" t="str">
            <v>קשיח</v>
          </cell>
          <cell r="F1463" t="str">
            <v>01.0489</v>
          </cell>
          <cell r="G1463">
            <v>43684</v>
          </cell>
          <cell r="H1463" t="str">
            <v>01.0489</v>
          </cell>
          <cell r="I1463" t="str">
            <v>ברמיל בע"מ</v>
          </cell>
          <cell r="J1463">
            <v>265</v>
          </cell>
          <cell r="K1463" t="str">
            <v>₪</v>
          </cell>
          <cell r="L1463">
            <v>1</v>
          </cell>
          <cell r="M1463" t="str">
            <v>יח'</v>
          </cell>
          <cell r="N1463">
            <v>265</v>
          </cell>
        </row>
        <row r="1464">
          <cell r="B1464" t="str">
            <v>מנדרל    10-32</v>
          </cell>
          <cell r="C1464">
            <v>38324</v>
          </cell>
          <cell r="D1464">
            <v>4</v>
          </cell>
          <cell r="E1464" t="str">
            <v>קשיח</v>
          </cell>
          <cell r="F1464" t="str">
            <v>01.0490</v>
          </cell>
          <cell r="G1464">
            <v>45550</v>
          </cell>
          <cell r="H1464" t="str">
            <v>01.0490</v>
          </cell>
          <cell r="I1464" t="str">
            <v>לוונשטיין טכנולוגיות בע"מ</v>
          </cell>
          <cell r="J1464">
            <v>375</v>
          </cell>
          <cell r="K1464" t="str">
            <v>₪</v>
          </cell>
          <cell r="L1464">
            <v>2</v>
          </cell>
          <cell r="M1464" t="str">
            <v>יח'</v>
          </cell>
          <cell r="N1464">
            <v>750</v>
          </cell>
        </row>
        <row r="1465">
          <cell r="B1465" t="str">
            <v>מנדרל  למברגה ידנית  10-32</v>
          </cell>
          <cell r="C1465">
            <v>24510</v>
          </cell>
          <cell r="D1465">
            <v>1</v>
          </cell>
          <cell r="E1465" t="str">
            <v>קשיח</v>
          </cell>
          <cell r="F1465" t="str">
            <v>01.0490</v>
          </cell>
          <cell r="G1465">
            <v>43692</v>
          </cell>
          <cell r="H1465" t="str">
            <v>01.0490</v>
          </cell>
          <cell r="I1465" t="str">
            <v>לוונשטיין טכנולוגיות</v>
          </cell>
          <cell r="J1465">
            <v>250</v>
          </cell>
          <cell r="K1465" t="str">
            <v>₪</v>
          </cell>
          <cell r="L1465">
            <v>1</v>
          </cell>
          <cell r="M1465" t="str">
            <v>יח'</v>
          </cell>
          <cell r="N1465">
            <v>250</v>
          </cell>
        </row>
        <row r="1466">
          <cell r="B1466" t="str">
            <v>מנדרל  למברגה ידנית  10-32</v>
          </cell>
          <cell r="C1466">
            <v>24426</v>
          </cell>
          <cell r="D1466">
            <v>2</v>
          </cell>
          <cell r="E1466" t="str">
            <v>קשיח</v>
          </cell>
          <cell r="F1466" t="str">
            <v>01.0490</v>
          </cell>
          <cell r="G1466">
            <v>43684</v>
          </cell>
          <cell r="H1466" t="str">
            <v>01.0490</v>
          </cell>
          <cell r="I1466" t="str">
            <v>ברמיל בע"מ</v>
          </cell>
          <cell r="J1466">
            <v>195</v>
          </cell>
          <cell r="K1466" t="str">
            <v>₪</v>
          </cell>
          <cell r="L1466">
            <v>1</v>
          </cell>
          <cell r="M1466" t="str">
            <v>יח'</v>
          </cell>
          <cell r="N1466">
            <v>195</v>
          </cell>
        </row>
        <row r="1467">
          <cell r="B1467" t="str">
            <v>M8*1.25 2d MA3279-209  Tangled</v>
          </cell>
          <cell r="C1467">
            <v>24426</v>
          </cell>
          <cell r="D1467">
            <v>3</v>
          </cell>
          <cell r="E1467" t="str">
            <v>קשיח</v>
          </cell>
          <cell r="F1467" t="str">
            <v>01.0491</v>
          </cell>
          <cell r="G1467">
            <v>43684</v>
          </cell>
          <cell r="H1467" t="str">
            <v>01.0491</v>
          </cell>
          <cell r="I1467" t="str">
            <v>ברמיל בע"מ</v>
          </cell>
          <cell r="J1467">
            <v>0.55000000000000004</v>
          </cell>
          <cell r="K1467" t="str">
            <v>₪</v>
          </cell>
          <cell r="L1467">
            <v>100</v>
          </cell>
          <cell r="M1467" t="str">
            <v>יח'</v>
          </cell>
          <cell r="N1467">
            <v>55.000000000000007</v>
          </cell>
        </row>
        <row r="1468">
          <cell r="B1468" t="str">
            <v>MS21209CO610L</v>
          </cell>
          <cell r="C1468">
            <v>29706</v>
          </cell>
          <cell r="D1468">
            <v>1</v>
          </cell>
          <cell r="E1468" t="str">
            <v>קשיח</v>
          </cell>
          <cell r="F1468" t="str">
            <v>01.0492</v>
          </cell>
          <cell r="G1468">
            <v>44448</v>
          </cell>
          <cell r="H1468" t="str">
            <v>01.0492</v>
          </cell>
          <cell r="I1468" t="str">
            <v>לוונשטיין טכנולוגיות</v>
          </cell>
          <cell r="J1468">
            <v>0.85</v>
          </cell>
          <cell r="K1468" t="str">
            <v>₪</v>
          </cell>
          <cell r="L1468">
            <v>200</v>
          </cell>
          <cell r="M1468" t="str">
            <v>יח'</v>
          </cell>
          <cell r="N1468">
            <v>170</v>
          </cell>
        </row>
        <row r="1469">
          <cell r="B1469" t="str">
            <v>MS21209CO610L</v>
          </cell>
          <cell r="C1469">
            <v>26558</v>
          </cell>
          <cell r="D1469">
            <v>2</v>
          </cell>
          <cell r="E1469" t="str">
            <v>קשיח</v>
          </cell>
          <cell r="F1469" t="str">
            <v>01.0492</v>
          </cell>
          <cell r="G1469">
            <v>44014</v>
          </cell>
          <cell r="H1469" t="str">
            <v>01.0492</v>
          </cell>
          <cell r="I1469" t="str">
            <v>דר טכנולוגיות בע"מ</v>
          </cell>
          <cell r="J1469">
            <v>2</v>
          </cell>
          <cell r="K1469" t="str">
            <v>₪</v>
          </cell>
          <cell r="L1469">
            <v>150</v>
          </cell>
          <cell r="M1469" t="str">
            <v>יח'</v>
          </cell>
          <cell r="N1469">
            <v>300</v>
          </cell>
        </row>
        <row r="1470">
          <cell r="B1470" t="str">
            <v>מנדרל למברגה ידנית NC6-32</v>
          </cell>
          <cell r="C1470">
            <v>38570</v>
          </cell>
          <cell r="D1470">
            <v>11</v>
          </cell>
          <cell r="E1470" t="str">
            <v>קשיח</v>
          </cell>
          <cell r="F1470" t="str">
            <v>01.0494</v>
          </cell>
          <cell r="G1470">
            <v>45579</v>
          </cell>
          <cell r="H1470" t="str">
            <v>01.0494</v>
          </cell>
          <cell r="I1470" t="str">
            <v>לוונשטיין טכנולוגיות בע"מ</v>
          </cell>
          <cell r="J1470">
            <v>305</v>
          </cell>
          <cell r="K1470" t="str">
            <v>₪</v>
          </cell>
          <cell r="L1470">
            <v>2</v>
          </cell>
          <cell r="M1470" t="str">
            <v>יח'</v>
          </cell>
          <cell r="N1470">
            <v>610</v>
          </cell>
        </row>
        <row r="1471">
          <cell r="B1471" t="str">
            <v>מנדרל למברגה ידנית 6-32</v>
          </cell>
          <cell r="C1471">
            <v>24510</v>
          </cell>
          <cell r="D1471">
            <v>2</v>
          </cell>
          <cell r="E1471" t="str">
            <v>קשיח</v>
          </cell>
          <cell r="F1471" t="str">
            <v>01.0494</v>
          </cell>
          <cell r="G1471">
            <v>43692</v>
          </cell>
          <cell r="H1471" t="str">
            <v>01.0494</v>
          </cell>
          <cell r="I1471" t="str">
            <v>לוונשטיין טכנולוגיות</v>
          </cell>
          <cell r="J1471">
            <v>257</v>
          </cell>
          <cell r="K1471" t="str">
            <v>₪</v>
          </cell>
          <cell r="L1471">
            <v>1</v>
          </cell>
          <cell r="M1471" t="str">
            <v>יח'</v>
          </cell>
          <cell r="N1471">
            <v>257</v>
          </cell>
        </row>
        <row r="1472">
          <cell r="B1472" t="str">
            <v>מנדרל למברגה ידנית M6</v>
          </cell>
          <cell r="C1472">
            <v>24510</v>
          </cell>
          <cell r="D1472">
            <v>3</v>
          </cell>
          <cell r="E1472" t="str">
            <v>קשיח</v>
          </cell>
          <cell r="F1472" t="str">
            <v>01.0495</v>
          </cell>
          <cell r="G1472">
            <v>43692</v>
          </cell>
          <cell r="H1472" t="str">
            <v>01.0495</v>
          </cell>
          <cell r="I1472" t="str">
            <v>לוונשטיין טכנולוגיות</v>
          </cell>
          <cell r="J1472">
            <v>184</v>
          </cell>
          <cell r="K1472" t="str">
            <v>₪</v>
          </cell>
          <cell r="L1472">
            <v>1</v>
          </cell>
          <cell r="M1472" t="str">
            <v>יח'</v>
          </cell>
          <cell r="N1472">
            <v>184</v>
          </cell>
        </row>
        <row r="1473">
          <cell r="B1473" t="str">
            <v>PIN PARALLEL ISO 2388 DIA 6M6X8 MM SS</v>
          </cell>
          <cell r="C1473">
            <v>24752</v>
          </cell>
          <cell r="D1473">
            <v>1</v>
          </cell>
          <cell r="E1473" t="str">
            <v>קשיח</v>
          </cell>
          <cell r="F1473" t="str">
            <v>01.0496</v>
          </cell>
          <cell r="G1473">
            <v>43727</v>
          </cell>
          <cell r="H1473" t="str">
            <v>01.0496</v>
          </cell>
          <cell r="I1473" t="str">
            <v>ברמיל בע"מ</v>
          </cell>
          <cell r="K1473" t="str">
            <v>₪</v>
          </cell>
          <cell r="M1473" t="str">
            <v/>
          </cell>
        </row>
        <row r="1474">
          <cell r="B1474" t="str">
            <v>PIN M6 6*8 mm DIN 7 PARALLEL</v>
          </cell>
          <cell r="C1474">
            <v>24541</v>
          </cell>
          <cell r="D1474">
            <v>1</v>
          </cell>
          <cell r="E1474" t="str">
            <v>קשיח</v>
          </cell>
          <cell r="F1474" t="str">
            <v>01.0496</v>
          </cell>
          <cell r="G1474">
            <v>43697</v>
          </cell>
          <cell r="H1474" t="str">
            <v>01.0496</v>
          </cell>
          <cell r="I1474" t="str">
            <v>גין מהנדסים בע"מ</v>
          </cell>
          <cell r="J1474">
            <v>4.5999999999999996</v>
          </cell>
          <cell r="K1474" t="str">
            <v>₪</v>
          </cell>
          <cell r="L1474">
            <v>150</v>
          </cell>
          <cell r="M1474" t="str">
            <v>יח'</v>
          </cell>
          <cell r="N1474">
            <v>690</v>
          </cell>
        </row>
        <row r="1475">
          <cell r="B1475" t="str">
            <v>PIN PARALLEL ISO 2388 DIA 6M6X8 MM SS</v>
          </cell>
          <cell r="C1475">
            <v>24517</v>
          </cell>
          <cell r="D1475">
            <v>1</v>
          </cell>
          <cell r="E1475" t="str">
            <v>קשיח</v>
          </cell>
          <cell r="F1475" t="str">
            <v>01.0496</v>
          </cell>
          <cell r="G1475">
            <v>43692</v>
          </cell>
          <cell r="H1475" t="str">
            <v>01.0496</v>
          </cell>
          <cell r="I1475" t="str">
            <v>ברמיל בע"מ</v>
          </cell>
          <cell r="J1475">
            <v>1</v>
          </cell>
          <cell r="K1475" t="str">
            <v>₪</v>
          </cell>
          <cell r="L1475">
            <v>200</v>
          </cell>
          <cell r="M1475" t="str">
            <v>יח'</v>
          </cell>
          <cell r="N1475">
            <v>200</v>
          </cell>
        </row>
        <row r="1476">
          <cell r="B1476" t="str">
            <v>KNCA0832J</v>
          </cell>
          <cell r="C1476">
            <v>24542</v>
          </cell>
          <cell r="D1476">
            <v>1</v>
          </cell>
          <cell r="E1476" t="str">
            <v>קשיח</v>
          </cell>
          <cell r="F1476" t="str">
            <v>01.0497</v>
          </cell>
          <cell r="G1476">
            <v>43697</v>
          </cell>
          <cell r="H1476" t="str">
            <v>01.0497</v>
          </cell>
          <cell r="I1476" t="str">
            <v>גין מהנדסים בע"מ</v>
          </cell>
          <cell r="J1476">
            <v>4.2</v>
          </cell>
          <cell r="K1476" t="str">
            <v>₪</v>
          </cell>
          <cell r="L1476">
            <v>130</v>
          </cell>
          <cell r="M1476" t="str">
            <v>יח'</v>
          </cell>
          <cell r="N1476">
            <v>546</v>
          </cell>
        </row>
        <row r="1477">
          <cell r="B1477" t="str">
            <v>MS51831-102L</v>
          </cell>
          <cell r="C1477">
            <v>25454</v>
          </cell>
          <cell r="D1477">
            <v>1</v>
          </cell>
          <cell r="E1477" t="str">
            <v>קשיח</v>
          </cell>
          <cell r="F1477" t="str">
            <v>01.0498</v>
          </cell>
          <cell r="G1477">
            <v>43845</v>
          </cell>
          <cell r="H1477" t="str">
            <v>01.0498</v>
          </cell>
          <cell r="I1477" t="str">
            <v>ברמיל בע"מ</v>
          </cell>
          <cell r="J1477">
            <v>6.75</v>
          </cell>
          <cell r="K1477" t="str">
            <v>₪</v>
          </cell>
          <cell r="L1477">
            <v>30</v>
          </cell>
          <cell r="M1477" t="str">
            <v>יח'</v>
          </cell>
          <cell r="N1477">
            <v>202.5</v>
          </cell>
        </row>
        <row r="1478">
          <cell r="B1478" t="str">
            <v>MS122124</v>
          </cell>
          <cell r="C1478">
            <v>25528</v>
          </cell>
          <cell r="D1478">
            <v>1</v>
          </cell>
          <cell r="E1478" t="str">
            <v>קשיח</v>
          </cell>
          <cell r="F1478" t="str">
            <v>01.0499</v>
          </cell>
          <cell r="G1478">
            <v>43858</v>
          </cell>
          <cell r="H1478" t="str">
            <v>01.0499</v>
          </cell>
          <cell r="I1478" t="str">
            <v>ברמיל בע"מ</v>
          </cell>
          <cell r="J1478">
            <v>3</v>
          </cell>
          <cell r="K1478" t="str">
            <v>$</v>
          </cell>
          <cell r="L1478">
            <v>50</v>
          </cell>
          <cell r="M1478" t="str">
            <v>יח'</v>
          </cell>
          <cell r="N1478">
            <v>460.8</v>
          </cell>
        </row>
        <row r="1479">
          <cell r="B1479" t="str">
            <v>MS21209 C4-15</v>
          </cell>
          <cell r="C1479">
            <v>25747</v>
          </cell>
          <cell r="D1479">
            <v>1</v>
          </cell>
          <cell r="E1479" t="str">
            <v>קשיח</v>
          </cell>
          <cell r="F1479" t="str">
            <v>01.0501</v>
          </cell>
          <cell r="G1479">
            <v>43895</v>
          </cell>
          <cell r="H1479" t="str">
            <v>01.0501</v>
          </cell>
          <cell r="I1479" t="str">
            <v>דר טכנולוגיות בע"מ</v>
          </cell>
          <cell r="J1479">
            <v>1</v>
          </cell>
          <cell r="K1479" t="str">
            <v>₪</v>
          </cell>
          <cell r="L1479">
            <v>100</v>
          </cell>
          <cell r="M1479" t="str">
            <v>יח'</v>
          </cell>
          <cell r="N1479">
            <v>100</v>
          </cell>
        </row>
        <row r="1480">
          <cell r="B1480" t="str">
            <v xml:space="preserve"> Helicoil M5*1d - Free -</v>
          </cell>
          <cell r="C1480">
            <v>25773</v>
          </cell>
          <cell r="D1480">
            <v>3</v>
          </cell>
          <cell r="E1480" t="str">
            <v>קשיח</v>
          </cell>
          <cell r="F1480" t="str">
            <v>01.0502</v>
          </cell>
          <cell r="G1480">
            <v>43899</v>
          </cell>
          <cell r="H1480" t="str">
            <v>01.0502</v>
          </cell>
          <cell r="I1480" t="str">
            <v>לוונשטיין טכנולוגיות</v>
          </cell>
          <cell r="J1480">
            <v>0.51</v>
          </cell>
          <cell r="K1480" t="str">
            <v>₪</v>
          </cell>
          <cell r="L1480">
            <v>1000</v>
          </cell>
          <cell r="M1480" t="str">
            <v>יח'</v>
          </cell>
          <cell r="N1480">
            <v>510</v>
          </cell>
        </row>
        <row r="1481">
          <cell r="B1481" t="str">
            <v>מוט הברגה עם מצמד</v>
          </cell>
          <cell r="C1481">
            <v>44759</v>
          </cell>
          <cell r="D1481">
            <v>2</v>
          </cell>
          <cell r="E1481" t="str">
            <v>קשיח</v>
          </cell>
          <cell r="F1481" t="str">
            <v>01.0507</v>
          </cell>
          <cell r="G1481">
            <v>46061</v>
          </cell>
          <cell r="H1481" t="str">
            <v>01.0507</v>
          </cell>
          <cell r="I1481" t="str">
            <v>לוונשטיין טכנולוגיות בע"מ</v>
          </cell>
          <cell r="J1481">
            <v>500</v>
          </cell>
          <cell r="K1481" t="str">
            <v>₪</v>
          </cell>
          <cell r="L1481">
            <v>1</v>
          </cell>
          <cell r="M1481" t="str">
            <v>יח'</v>
          </cell>
          <cell r="N1481">
            <v>500</v>
          </cell>
        </row>
        <row r="1482">
          <cell r="B1482" t="str">
            <v>מוט הברגה עם מצמד</v>
          </cell>
          <cell r="C1482">
            <v>44759</v>
          </cell>
          <cell r="D1482">
            <v>4</v>
          </cell>
          <cell r="E1482" t="str">
            <v>קשיח</v>
          </cell>
          <cell r="F1482" t="str">
            <v>01.0507</v>
          </cell>
          <cell r="G1482">
            <v>46061</v>
          </cell>
          <cell r="H1482" t="str">
            <v>01.0507</v>
          </cell>
          <cell r="I1482" t="str">
            <v>לוונשטיין טכנולוגיות בע"מ</v>
          </cell>
          <cell r="J1482">
            <v>500</v>
          </cell>
          <cell r="K1482" t="str">
            <v>₪</v>
          </cell>
          <cell r="L1482">
            <v>1</v>
          </cell>
          <cell r="M1482" t="str">
            <v>יח'</v>
          </cell>
          <cell r="N1482">
            <v>500</v>
          </cell>
        </row>
        <row r="1483">
          <cell r="B1483" t="str">
            <v>MS122088</v>
          </cell>
          <cell r="C1483">
            <v>26085</v>
          </cell>
          <cell r="D1483">
            <v>1</v>
          </cell>
          <cell r="E1483" t="str">
            <v>קשיח</v>
          </cell>
          <cell r="F1483" t="str">
            <v>01.0508</v>
          </cell>
          <cell r="G1483">
            <v>43955</v>
          </cell>
          <cell r="H1483" t="str">
            <v>01.0508</v>
          </cell>
          <cell r="I1483" t="str">
            <v>גין מהנדסים בע"מ</v>
          </cell>
          <cell r="J1483">
            <v>4</v>
          </cell>
          <cell r="K1483" t="str">
            <v>₪</v>
          </cell>
          <cell r="L1483">
            <v>25</v>
          </cell>
          <cell r="M1483" t="str">
            <v>יח'</v>
          </cell>
          <cell r="N1483">
            <v>100</v>
          </cell>
        </row>
        <row r="1484">
          <cell r="B1484" t="str">
            <v>KNC0632J /MS51830-103</v>
          </cell>
          <cell r="C1484">
            <v>28741</v>
          </cell>
          <cell r="D1484">
            <v>1</v>
          </cell>
          <cell r="E1484" t="str">
            <v>קשיח</v>
          </cell>
          <cell r="F1484" t="str">
            <v>01.0509</v>
          </cell>
          <cell r="G1484">
            <v>44319</v>
          </cell>
          <cell r="H1484" t="str">
            <v>01.0509</v>
          </cell>
          <cell r="I1484" t="str">
            <v>דר טכנולוגיות בע"מ</v>
          </cell>
          <cell r="J1484">
            <v>4.95</v>
          </cell>
          <cell r="K1484" t="str">
            <v>₪</v>
          </cell>
          <cell r="L1484">
            <v>100</v>
          </cell>
          <cell r="M1484" t="str">
            <v>יח'</v>
          </cell>
          <cell r="N1484">
            <v>495</v>
          </cell>
        </row>
        <row r="1485">
          <cell r="B1485" t="str">
            <v>KNC0632J /MS51930-103</v>
          </cell>
          <cell r="C1485">
            <v>26091</v>
          </cell>
          <cell r="D1485">
            <v>2</v>
          </cell>
          <cell r="E1485" t="str">
            <v>קשיח</v>
          </cell>
          <cell r="F1485" t="str">
            <v>01.0509</v>
          </cell>
          <cell r="G1485">
            <v>43956</v>
          </cell>
          <cell r="H1485" t="str">
            <v>01.0509</v>
          </cell>
          <cell r="I1485" t="str">
            <v>גין מהנדסים בע"מ</v>
          </cell>
          <cell r="J1485">
            <v>4.8</v>
          </cell>
          <cell r="K1485" t="str">
            <v>₪</v>
          </cell>
          <cell r="L1485">
            <v>50</v>
          </cell>
          <cell r="M1485" t="str">
            <v>יח'</v>
          </cell>
          <cell r="N1485">
            <v>240</v>
          </cell>
        </row>
        <row r="1486">
          <cell r="B1486" t="str">
            <v xml:space="preserve"> KN1032J /MS51830-201</v>
          </cell>
          <cell r="C1486">
            <v>26091</v>
          </cell>
          <cell r="D1486">
            <v>3</v>
          </cell>
          <cell r="E1486" t="str">
            <v>קשיח</v>
          </cell>
          <cell r="F1486" t="str">
            <v>01.0510</v>
          </cell>
          <cell r="G1486">
            <v>43956</v>
          </cell>
          <cell r="H1486" t="str">
            <v>01.0510</v>
          </cell>
          <cell r="I1486" t="str">
            <v>גין מהנדסים בע"מ</v>
          </cell>
          <cell r="J1486">
            <v>4</v>
          </cell>
          <cell r="K1486" t="str">
            <v>₪</v>
          </cell>
          <cell r="L1486">
            <v>50</v>
          </cell>
          <cell r="M1486" t="str">
            <v>יח'</v>
          </cell>
          <cell r="N1486">
            <v>200</v>
          </cell>
        </row>
        <row r="1487">
          <cell r="B1487" t="str">
            <v>MS21209C6-20 / 3/8-16</v>
          </cell>
          <cell r="C1487">
            <v>26175</v>
          </cell>
          <cell r="D1487">
            <v>1</v>
          </cell>
          <cell r="E1487" t="str">
            <v>קשיח</v>
          </cell>
          <cell r="F1487" t="str">
            <v>01.0511</v>
          </cell>
          <cell r="G1487">
            <v>43968</v>
          </cell>
          <cell r="H1487" t="str">
            <v>01.0511</v>
          </cell>
          <cell r="I1487" t="str">
            <v>לוונשטיין טכנולוגיות</v>
          </cell>
          <cell r="J1487">
            <v>2.6</v>
          </cell>
          <cell r="K1487" t="str">
            <v>₪</v>
          </cell>
          <cell r="L1487">
            <v>100</v>
          </cell>
          <cell r="M1487" t="str">
            <v>יח'</v>
          </cell>
          <cell r="N1487">
            <v>260</v>
          </cell>
        </row>
        <row r="1488">
          <cell r="B1488" t="str">
            <v>M3*0.5-2.5D /MS3279-252</v>
          </cell>
          <cell r="C1488">
            <v>31322</v>
          </cell>
          <cell r="D1488">
            <v>1</v>
          </cell>
          <cell r="E1488" t="str">
            <v>קשיח</v>
          </cell>
          <cell r="F1488" t="str">
            <v>01.0512</v>
          </cell>
          <cell r="G1488">
            <v>44663</v>
          </cell>
          <cell r="H1488" t="str">
            <v>01.0512</v>
          </cell>
          <cell r="I1488" t="str">
            <v>לוונשטיין טכנולוגיות בע"מ</v>
          </cell>
          <cell r="J1488">
            <v>1</v>
          </cell>
          <cell r="K1488" t="str">
            <v>₪</v>
          </cell>
          <cell r="L1488">
            <v>500</v>
          </cell>
          <cell r="M1488" t="str">
            <v>יח'</v>
          </cell>
          <cell r="N1488">
            <v>500</v>
          </cell>
        </row>
        <row r="1489">
          <cell r="B1489" t="str">
            <v>M3*0.5-2.5D /MS3279-252</v>
          </cell>
          <cell r="C1489">
            <v>30434</v>
          </cell>
          <cell r="D1489">
            <v>1</v>
          </cell>
          <cell r="E1489" t="str">
            <v>קשיח</v>
          </cell>
          <cell r="F1489" t="str">
            <v>01.0512</v>
          </cell>
          <cell r="G1489">
            <v>44544</v>
          </cell>
          <cell r="H1489" t="str">
            <v>01.0512</v>
          </cell>
          <cell r="I1489" t="str">
            <v>לוונשטיין טכנולוגיות בע"מ</v>
          </cell>
          <cell r="J1489">
            <v>1</v>
          </cell>
          <cell r="K1489" t="str">
            <v>₪</v>
          </cell>
          <cell r="L1489">
            <v>500</v>
          </cell>
          <cell r="M1489" t="str">
            <v>יח'</v>
          </cell>
          <cell r="N1489">
            <v>500</v>
          </cell>
        </row>
        <row r="1490">
          <cell r="B1490" t="str">
            <v>M3*0.5-2.5D /MS3279-252</v>
          </cell>
          <cell r="C1490">
            <v>27864</v>
          </cell>
          <cell r="D1490">
            <v>1</v>
          </cell>
          <cell r="E1490" t="str">
            <v>קשיח</v>
          </cell>
          <cell r="F1490" t="str">
            <v>01.0512</v>
          </cell>
          <cell r="G1490">
            <v>44195</v>
          </cell>
          <cell r="H1490" t="str">
            <v>01.0512</v>
          </cell>
          <cell r="I1490" t="str">
            <v>לוונשטיין טכנולוגיות</v>
          </cell>
          <cell r="J1490">
            <v>1</v>
          </cell>
          <cell r="K1490" t="str">
            <v>₪</v>
          </cell>
          <cell r="L1490">
            <v>200</v>
          </cell>
          <cell r="M1490" t="str">
            <v>יח'</v>
          </cell>
          <cell r="N1490">
            <v>200</v>
          </cell>
        </row>
        <row r="1491">
          <cell r="B1491" t="str">
            <v>M3*0.5-2.5D /MS3279-252</v>
          </cell>
          <cell r="C1491">
            <v>26903</v>
          </cell>
          <cell r="D1491">
            <v>1</v>
          </cell>
          <cell r="E1491" t="str">
            <v>קשיח</v>
          </cell>
          <cell r="F1491" t="str">
            <v>01.0512</v>
          </cell>
          <cell r="G1491">
            <v>44056</v>
          </cell>
          <cell r="H1491" t="str">
            <v>01.0512</v>
          </cell>
          <cell r="I1491" t="str">
            <v>לוונשטיין טכנולוגיות</v>
          </cell>
          <cell r="J1491">
            <v>0.55000000000000004</v>
          </cell>
          <cell r="K1491" t="str">
            <v>₪</v>
          </cell>
          <cell r="L1491">
            <v>500</v>
          </cell>
          <cell r="M1491" t="str">
            <v>יח'</v>
          </cell>
          <cell r="N1491">
            <v>275</v>
          </cell>
        </row>
        <row r="1492">
          <cell r="B1492" t="str">
            <v>M3*0.5-2.5D /MS3279-252</v>
          </cell>
          <cell r="C1492">
            <v>26320</v>
          </cell>
          <cell r="D1492">
            <v>1</v>
          </cell>
          <cell r="E1492" t="str">
            <v>קשיח</v>
          </cell>
          <cell r="F1492" t="str">
            <v>01.0512</v>
          </cell>
          <cell r="G1492">
            <v>43992</v>
          </cell>
          <cell r="H1492" t="str">
            <v>01.0512</v>
          </cell>
          <cell r="I1492" t="str">
            <v>ברמיל בע"מ</v>
          </cell>
          <cell r="J1492">
            <v>1</v>
          </cell>
          <cell r="K1492" t="str">
            <v>₪</v>
          </cell>
          <cell r="L1492">
            <v>250</v>
          </cell>
          <cell r="M1492" t="str">
            <v>יח'</v>
          </cell>
          <cell r="N1492">
            <v>250</v>
          </cell>
        </row>
        <row r="1493">
          <cell r="B1493" t="str">
            <v>M3*0.5-2.5D /MS3279-252</v>
          </cell>
          <cell r="C1493">
            <v>26243</v>
          </cell>
          <cell r="D1493">
            <v>1</v>
          </cell>
          <cell r="E1493" t="str">
            <v>קשיח</v>
          </cell>
          <cell r="F1493" t="str">
            <v>01.0512</v>
          </cell>
          <cell r="G1493">
            <v>43978</v>
          </cell>
          <cell r="H1493" t="str">
            <v>01.0512</v>
          </cell>
          <cell r="I1493" t="str">
            <v>ברמיל בע"מ</v>
          </cell>
          <cell r="J1493">
            <v>1</v>
          </cell>
          <cell r="K1493" t="str">
            <v>₪</v>
          </cell>
          <cell r="L1493">
            <v>100</v>
          </cell>
          <cell r="M1493" t="str">
            <v>יח'</v>
          </cell>
          <cell r="N1493">
            <v>100</v>
          </cell>
        </row>
        <row r="1494">
          <cell r="B1494" t="str">
            <v>LOCTITE 242</v>
          </cell>
          <cell r="C1494">
            <v>37823</v>
          </cell>
          <cell r="D1494">
            <v>3</v>
          </cell>
          <cell r="E1494" t="str">
            <v>קשיח</v>
          </cell>
          <cell r="F1494" t="str">
            <v>01.0513</v>
          </cell>
          <cell r="G1494">
            <v>45495</v>
          </cell>
          <cell r="H1494" t="str">
            <v>01.0513</v>
          </cell>
          <cell r="I1494" t="str">
            <v>מאור גבריאלי הספקה ט</v>
          </cell>
          <cell r="J1494">
            <v>185</v>
          </cell>
          <cell r="K1494" t="str">
            <v>₪</v>
          </cell>
          <cell r="L1494">
            <v>1</v>
          </cell>
          <cell r="M1494" t="str">
            <v>יח'</v>
          </cell>
          <cell r="N1494">
            <v>185</v>
          </cell>
        </row>
        <row r="1495">
          <cell r="B1495" t="str">
            <v>LOCTITE 242</v>
          </cell>
          <cell r="C1495">
            <v>30162</v>
          </cell>
          <cell r="D1495">
            <v>4</v>
          </cell>
          <cell r="E1495" t="str">
            <v>קשיח</v>
          </cell>
          <cell r="F1495" t="str">
            <v>01.0513</v>
          </cell>
          <cell r="G1495">
            <v>44510</v>
          </cell>
          <cell r="H1495" t="str">
            <v>01.0513</v>
          </cell>
          <cell r="I1495" t="str">
            <v>מאור גבריאלי הספקה ט</v>
          </cell>
          <cell r="J1495">
            <v>0</v>
          </cell>
          <cell r="K1495" t="str">
            <v>₪</v>
          </cell>
          <cell r="M1495" t="str">
            <v>יח'</v>
          </cell>
        </row>
        <row r="1496">
          <cell r="B1496" t="str">
            <v>LOCTITE 242</v>
          </cell>
          <cell r="C1496">
            <v>28611</v>
          </cell>
          <cell r="D1496">
            <v>1</v>
          </cell>
          <cell r="E1496" t="str">
            <v>קשיח</v>
          </cell>
          <cell r="F1496" t="str">
            <v>01.0513</v>
          </cell>
          <cell r="G1496">
            <v>44299</v>
          </cell>
          <cell r="H1496" t="str">
            <v>01.0513</v>
          </cell>
          <cell r="I1496" t="str">
            <v>מאור גבריאלי הספקה ט</v>
          </cell>
          <cell r="J1496">
            <v>290</v>
          </cell>
          <cell r="K1496" t="str">
            <v>₪</v>
          </cell>
          <cell r="L1496">
            <v>1</v>
          </cell>
          <cell r="M1496" t="str">
            <v>יח'</v>
          </cell>
          <cell r="N1496">
            <v>290</v>
          </cell>
        </row>
        <row r="1497">
          <cell r="B1497" t="str">
            <v>LOCTITE 242</v>
          </cell>
          <cell r="C1497">
            <v>27936</v>
          </cell>
          <cell r="D1497">
            <v>1</v>
          </cell>
          <cell r="E1497" t="str">
            <v>קשיח</v>
          </cell>
          <cell r="F1497" t="str">
            <v>01.0513</v>
          </cell>
          <cell r="G1497">
            <v>44207</v>
          </cell>
          <cell r="H1497" t="str">
            <v>01.0513</v>
          </cell>
          <cell r="I1497" t="str">
            <v>רוטל דבקים וכימיקלים בע"מ</v>
          </cell>
          <cell r="J1497">
            <v>0</v>
          </cell>
          <cell r="K1497" t="str">
            <v>₪</v>
          </cell>
          <cell r="M1497" t="str">
            <v>יח'</v>
          </cell>
        </row>
        <row r="1498">
          <cell r="B1498" t="str">
            <v>MS124742</v>
          </cell>
          <cell r="C1498">
            <v>26991</v>
          </cell>
          <cell r="D1498">
            <v>1</v>
          </cell>
          <cell r="E1498" t="str">
            <v>קשיח</v>
          </cell>
          <cell r="F1498" t="str">
            <v>01.0514</v>
          </cell>
          <cell r="G1498">
            <v>44070</v>
          </cell>
          <cell r="H1498" t="str">
            <v>01.0514</v>
          </cell>
          <cell r="I1498" t="str">
            <v>ברמיל בע"מ</v>
          </cell>
          <cell r="J1498">
            <v>2.95</v>
          </cell>
          <cell r="K1498" t="str">
            <v>₪</v>
          </cell>
          <cell r="L1498">
            <v>50</v>
          </cell>
          <cell r="M1498" t="str">
            <v>יח'</v>
          </cell>
          <cell r="N1498">
            <v>147.5</v>
          </cell>
        </row>
        <row r="1499">
          <cell r="B1499" t="str">
            <v>שובר לשונית M2.5</v>
          </cell>
          <cell r="C1499">
            <v>39749</v>
          </cell>
          <cell r="D1499">
            <v>12</v>
          </cell>
          <cell r="E1499" t="str">
            <v>קשיח</v>
          </cell>
          <cell r="F1499" t="str">
            <v>01.0519</v>
          </cell>
          <cell r="G1499">
            <v>45697</v>
          </cell>
          <cell r="H1499" t="str">
            <v>01.0519</v>
          </cell>
          <cell r="I1499" t="str">
            <v>לוונשטיין טכנולוגיות בע"מ</v>
          </cell>
          <cell r="J1499">
            <v>161.69999999999999</v>
          </cell>
          <cell r="K1499" t="str">
            <v>₪</v>
          </cell>
          <cell r="L1499">
            <v>2</v>
          </cell>
          <cell r="M1499" t="str">
            <v>יח'</v>
          </cell>
          <cell r="N1499">
            <v>323.39999999999998</v>
          </cell>
        </row>
        <row r="1500">
          <cell r="B1500" t="str">
            <v>שובר לשונית M2.5</v>
          </cell>
          <cell r="C1500">
            <v>27199</v>
          </cell>
          <cell r="D1500">
            <v>3</v>
          </cell>
          <cell r="E1500" t="str">
            <v>קשיח</v>
          </cell>
          <cell r="F1500" t="str">
            <v>01.0519</v>
          </cell>
          <cell r="G1500">
            <v>44104</v>
          </cell>
          <cell r="H1500" t="str">
            <v>01.0519</v>
          </cell>
          <cell r="I1500" t="str">
            <v>לוונשטיין טכנולוגיות</v>
          </cell>
          <cell r="J1500">
            <v>145</v>
          </cell>
          <cell r="K1500" t="str">
            <v>₪</v>
          </cell>
          <cell r="L1500">
            <v>1</v>
          </cell>
          <cell r="M1500" t="str">
            <v>יח'</v>
          </cell>
          <cell r="N1500">
            <v>145</v>
          </cell>
        </row>
        <row r="1501">
          <cell r="B1501" t="str">
            <v>שובר לשונית M5</v>
          </cell>
          <cell r="C1501">
            <v>39749</v>
          </cell>
          <cell r="D1501">
            <v>15</v>
          </cell>
          <cell r="E1501" t="str">
            <v>קשיח</v>
          </cell>
          <cell r="F1501" t="str">
            <v>01.0520</v>
          </cell>
          <cell r="G1501">
            <v>45697</v>
          </cell>
          <cell r="H1501" t="str">
            <v>01.0520</v>
          </cell>
          <cell r="I1501" t="str">
            <v>לוונשטיין טכנולוגיות בע"מ</v>
          </cell>
          <cell r="J1501">
            <v>161.69999999999999</v>
          </cell>
          <cell r="K1501" t="str">
            <v>₪</v>
          </cell>
          <cell r="L1501">
            <v>2</v>
          </cell>
          <cell r="M1501" t="str">
            <v>יח'</v>
          </cell>
          <cell r="N1501">
            <v>323.39999999999998</v>
          </cell>
        </row>
        <row r="1502">
          <cell r="B1502" t="str">
            <v>שובר לשונית M5</v>
          </cell>
          <cell r="C1502">
            <v>27199</v>
          </cell>
          <cell r="D1502">
            <v>4</v>
          </cell>
          <cell r="E1502" t="str">
            <v>קשיח</v>
          </cell>
          <cell r="F1502" t="str">
            <v>01.0520</v>
          </cell>
          <cell r="G1502">
            <v>44104</v>
          </cell>
          <cell r="H1502" t="str">
            <v>01.0520</v>
          </cell>
          <cell r="I1502" t="str">
            <v>לוונשטיין טכנולוגיות</v>
          </cell>
          <cell r="J1502">
            <v>145</v>
          </cell>
          <cell r="K1502" t="str">
            <v>₪</v>
          </cell>
          <cell r="L1502">
            <v>1</v>
          </cell>
          <cell r="M1502" t="str">
            <v>יח'</v>
          </cell>
          <cell r="N1502">
            <v>145</v>
          </cell>
        </row>
        <row r="1503">
          <cell r="B1503" t="str">
            <v>שובר לשונית  M6</v>
          </cell>
          <cell r="C1503">
            <v>39749</v>
          </cell>
          <cell r="D1503">
            <v>16</v>
          </cell>
          <cell r="E1503" t="str">
            <v>קשיח</v>
          </cell>
          <cell r="F1503" t="str">
            <v>01.0521</v>
          </cell>
          <cell r="G1503">
            <v>45697</v>
          </cell>
          <cell r="H1503" t="str">
            <v>01.0521</v>
          </cell>
          <cell r="I1503" t="str">
            <v>לוונשטיין טכנולוגיות בע"מ</v>
          </cell>
          <cell r="J1503">
            <v>161.69999999999999</v>
          </cell>
          <cell r="K1503" t="str">
            <v>₪</v>
          </cell>
          <cell r="L1503">
            <v>2</v>
          </cell>
          <cell r="M1503" t="str">
            <v>יח'</v>
          </cell>
          <cell r="N1503">
            <v>323.39999999999998</v>
          </cell>
        </row>
        <row r="1504">
          <cell r="B1504" t="str">
            <v>שובר לשונית  M6</v>
          </cell>
          <cell r="C1504">
            <v>32627</v>
          </cell>
          <cell r="D1504">
            <v>5</v>
          </cell>
          <cell r="E1504" t="str">
            <v>קשיח</v>
          </cell>
          <cell r="F1504" t="str">
            <v>01.0521</v>
          </cell>
          <cell r="G1504">
            <v>44858</v>
          </cell>
          <cell r="H1504" t="str">
            <v>01.0521</v>
          </cell>
          <cell r="I1504" t="str">
            <v>דר טכנולוגיות בע"מ</v>
          </cell>
          <cell r="J1504">
            <v>250</v>
          </cell>
          <cell r="K1504" t="str">
            <v>₪</v>
          </cell>
          <cell r="L1504">
            <v>2</v>
          </cell>
          <cell r="M1504" t="str">
            <v>יח'</v>
          </cell>
          <cell r="N1504">
            <v>500</v>
          </cell>
        </row>
        <row r="1505">
          <cell r="B1505" t="str">
            <v>שובר לשונית  M6</v>
          </cell>
          <cell r="C1505">
            <v>27199</v>
          </cell>
          <cell r="D1505">
            <v>5</v>
          </cell>
          <cell r="E1505" t="str">
            <v>קשיח</v>
          </cell>
          <cell r="F1505" t="str">
            <v>01.0521</v>
          </cell>
          <cell r="G1505">
            <v>44104</v>
          </cell>
          <cell r="H1505" t="str">
            <v>01.0521</v>
          </cell>
          <cell r="I1505" t="str">
            <v>לוונשטיין טכנולוגיות</v>
          </cell>
          <cell r="J1505">
            <v>145</v>
          </cell>
          <cell r="K1505" t="str">
            <v>₪</v>
          </cell>
          <cell r="L1505">
            <v>1</v>
          </cell>
          <cell r="M1505" t="str">
            <v>יח'</v>
          </cell>
          <cell r="N1505">
            <v>145</v>
          </cell>
        </row>
        <row r="1506">
          <cell r="B1506" t="str">
            <v>מנדרל למברגה ידנית 5/16-18</v>
          </cell>
          <cell r="C1506">
            <v>27199</v>
          </cell>
          <cell r="D1506">
            <v>7</v>
          </cell>
          <cell r="E1506" t="str">
            <v>קשיח</v>
          </cell>
          <cell r="F1506" t="str">
            <v>01.0522</v>
          </cell>
          <cell r="G1506">
            <v>44104</v>
          </cell>
          <cell r="H1506" t="str">
            <v>01.0522</v>
          </cell>
          <cell r="I1506" t="str">
            <v>לוונשטיין טכנולוגיות</v>
          </cell>
          <cell r="J1506">
            <v>340</v>
          </cell>
          <cell r="K1506" t="str">
            <v>₪</v>
          </cell>
          <cell r="L1506">
            <v>1</v>
          </cell>
          <cell r="M1506" t="str">
            <v>יח'</v>
          </cell>
          <cell r="N1506">
            <v>340</v>
          </cell>
        </row>
        <row r="1507">
          <cell r="B1507" t="str">
            <v>PIN Parallel  Iso 8734 3.0 m 6x6 mm sst</v>
          </cell>
          <cell r="C1507">
            <v>28141</v>
          </cell>
          <cell r="D1507">
            <v>1</v>
          </cell>
          <cell r="E1507" t="str">
            <v>קשיח</v>
          </cell>
          <cell r="F1507" t="str">
            <v>01.0524</v>
          </cell>
          <cell r="G1507">
            <v>44236</v>
          </cell>
          <cell r="H1507" t="str">
            <v>01.0524</v>
          </cell>
          <cell r="I1507" t="str">
            <v>גין מהנדסים בע"מ</v>
          </cell>
          <cell r="J1507">
            <v>1.17</v>
          </cell>
          <cell r="K1507" t="str">
            <v>₪</v>
          </cell>
          <cell r="L1507">
            <v>600</v>
          </cell>
          <cell r="M1507" t="str">
            <v>יח'</v>
          </cell>
          <cell r="N1507">
            <v>702</v>
          </cell>
        </row>
        <row r="1508">
          <cell r="B1508" t="str">
            <v>PIN Parallel  Iso 8734 3.0 m 6x6 mm sst</v>
          </cell>
          <cell r="C1508">
            <v>27693</v>
          </cell>
          <cell r="D1508">
            <v>1</v>
          </cell>
          <cell r="E1508" t="str">
            <v>קשיח</v>
          </cell>
          <cell r="F1508" t="str">
            <v>01.0524</v>
          </cell>
          <cell r="G1508">
            <v>44171</v>
          </cell>
          <cell r="H1508" t="str">
            <v>01.0524</v>
          </cell>
          <cell r="I1508" t="str">
            <v>דר טכנולוגיות בע"מ</v>
          </cell>
          <cell r="J1508">
            <v>2.5</v>
          </cell>
          <cell r="K1508" t="str">
            <v>₪</v>
          </cell>
          <cell r="L1508">
            <v>50</v>
          </cell>
          <cell r="M1508" t="str">
            <v>יח'</v>
          </cell>
          <cell r="N1508">
            <v>125</v>
          </cell>
        </row>
        <row r="1509">
          <cell r="B1509" t="str">
            <v>CLM-61-KSM</v>
          </cell>
          <cell r="C1509">
            <v>28159</v>
          </cell>
          <cell r="D1509">
            <v>5</v>
          </cell>
          <cell r="E1509" t="str">
            <v>קשיח</v>
          </cell>
          <cell r="F1509" t="str">
            <v>01.0526</v>
          </cell>
          <cell r="G1509">
            <v>44237</v>
          </cell>
          <cell r="H1509" t="str">
            <v>01.0526</v>
          </cell>
          <cell r="I1509" t="str">
            <v>גין מהנדסים בע"מ</v>
          </cell>
          <cell r="J1509">
            <v>10</v>
          </cell>
          <cell r="K1509" t="str">
            <v>₪</v>
          </cell>
          <cell r="L1509">
            <v>20</v>
          </cell>
          <cell r="M1509" t="str">
            <v>יח'</v>
          </cell>
          <cell r="N1509">
            <v>200</v>
          </cell>
        </row>
        <row r="1510">
          <cell r="B1510" t="str">
            <v>MS51830-105</v>
          </cell>
          <cell r="C1510">
            <v>28295</v>
          </cell>
          <cell r="D1510">
            <v>2</v>
          </cell>
          <cell r="E1510" t="str">
            <v>קשיח</v>
          </cell>
          <cell r="F1510" t="str">
            <v>01.0531</v>
          </cell>
          <cell r="G1510">
            <v>44255</v>
          </cell>
          <cell r="H1510" t="str">
            <v>01.0531</v>
          </cell>
          <cell r="I1510" t="str">
            <v>גין מהנדסים בע"מ</v>
          </cell>
          <cell r="J1510">
            <v>8.5</v>
          </cell>
          <cell r="K1510" t="str">
            <v>₪</v>
          </cell>
          <cell r="L1510">
            <v>30</v>
          </cell>
          <cell r="M1510" t="str">
            <v>יח'</v>
          </cell>
          <cell r="N1510">
            <v>255</v>
          </cell>
        </row>
        <row r="1511">
          <cell r="B1511" t="str">
            <v>KNL1032J /MS51830-201L</v>
          </cell>
          <cell r="C1511">
            <v>45014</v>
          </cell>
          <cell r="D1511">
            <v>3</v>
          </cell>
          <cell r="E1511" t="str">
            <v>קשיח</v>
          </cell>
          <cell r="F1511" t="str">
            <v>01.0535</v>
          </cell>
          <cell r="G1511">
            <v>46082.355124918984</v>
          </cell>
          <cell r="H1511" t="str">
            <v>01.0535</v>
          </cell>
          <cell r="I1511" t="str">
            <v>גין מהנדסים בע"מ</v>
          </cell>
          <cell r="J1511">
            <v>7.9</v>
          </cell>
          <cell r="K1511" t="str">
            <v>₪</v>
          </cell>
          <cell r="L1511">
            <v>200</v>
          </cell>
          <cell r="M1511" t="str">
            <v>יח'</v>
          </cell>
          <cell r="N1511">
            <v>1580</v>
          </cell>
        </row>
        <row r="1512">
          <cell r="B1512" t="str">
            <v>KNL1032J /MS51830-201L</v>
          </cell>
          <cell r="C1512">
            <v>44812</v>
          </cell>
          <cell r="D1512">
            <v>3</v>
          </cell>
          <cell r="E1512" t="str">
            <v>קשיח</v>
          </cell>
          <cell r="F1512" t="str">
            <v>01.0535</v>
          </cell>
          <cell r="G1512">
            <v>46064</v>
          </cell>
          <cell r="H1512" t="str">
            <v>01.0535</v>
          </cell>
          <cell r="I1512" t="str">
            <v>ברמיל בע"מ</v>
          </cell>
          <cell r="J1512">
            <v>7.9</v>
          </cell>
          <cell r="K1512" t="str">
            <v>₪</v>
          </cell>
          <cell r="L1512">
            <v>520</v>
          </cell>
          <cell r="M1512" t="str">
            <v>יח'</v>
          </cell>
          <cell r="N1512">
            <v>4108</v>
          </cell>
        </row>
        <row r="1513">
          <cell r="B1513" t="str">
            <v>KNL1032J /MS51830-201L</v>
          </cell>
          <cell r="C1513">
            <v>44812</v>
          </cell>
          <cell r="D1513">
            <v>5</v>
          </cell>
          <cell r="E1513" t="str">
            <v>קשיח</v>
          </cell>
          <cell r="F1513" t="str">
            <v>01.0535</v>
          </cell>
          <cell r="G1513">
            <v>46064</v>
          </cell>
          <cell r="H1513" t="str">
            <v>01.0535</v>
          </cell>
          <cell r="I1513" t="str">
            <v>ברמיל בע"מ</v>
          </cell>
          <cell r="J1513">
            <v>7.9</v>
          </cell>
          <cell r="K1513" t="str">
            <v>₪</v>
          </cell>
          <cell r="L1513">
            <v>100</v>
          </cell>
          <cell r="M1513" t="str">
            <v>יח'</v>
          </cell>
          <cell r="N1513">
            <v>790</v>
          </cell>
        </row>
        <row r="1514">
          <cell r="B1514" t="str">
            <v>KNL1032J /MS51830-201L</v>
          </cell>
          <cell r="C1514">
            <v>44706</v>
          </cell>
          <cell r="D1514">
            <v>2</v>
          </cell>
          <cell r="E1514" t="str">
            <v>קשיח</v>
          </cell>
          <cell r="F1514" t="str">
            <v>01.0535</v>
          </cell>
          <cell r="G1514">
            <v>46054</v>
          </cell>
          <cell r="H1514" t="str">
            <v>01.0535</v>
          </cell>
          <cell r="I1514" t="str">
            <v>גין מהנדסים בע"מ</v>
          </cell>
          <cell r="J1514">
            <v>7.9</v>
          </cell>
          <cell r="K1514" t="str">
            <v>₪</v>
          </cell>
          <cell r="L1514">
            <v>500</v>
          </cell>
          <cell r="M1514" t="str">
            <v>יח'</v>
          </cell>
          <cell r="N1514">
            <v>3950</v>
          </cell>
        </row>
        <row r="1515">
          <cell r="B1515" t="str">
            <v>KNL1032J /MS51830-201L</v>
          </cell>
          <cell r="C1515">
            <v>42690</v>
          </cell>
          <cell r="D1515">
            <v>4</v>
          </cell>
          <cell r="E1515" t="str">
            <v>קשיח</v>
          </cell>
          <cell r="F1515" t="str">
            <v>01.0535</v>
          </cell>
          <cell r="G1515">
            <v>45977</v>
          </cell>
          <cell r="H1515" t="str">
            <v>01.0535</v>
          </cell>
          <cell r="I1515" t="str">
            <v>גין מהנדסים בע"מ</v>
          </cell>
          <cell r="J1515">
            <v>7.9</v>
          </cell>
          <cell r="K1515" t="str">
            <v>₪</v>
          </cell>
          <cell r="L1515">
            <v>500</v>
          </cell>
          <cell r="M1515" t="str">
            <v>יח'</v>
          </cell>
          <cell r="N1515">
            <v>3950</v>
          </cell>
        </row>
        <row r="1516">
          <cell r="B1516" t="str">
            <v>KNL1032J /MS51830-201L</v>
          </cell>
          <cell r="C1516">
            <v>42350</v>
          </cell>
          <cell r="D1516">
            <v>1</v>
          </cell>
          <cell r="E1516" t="str">
            <v>קשיח</v>
          </cell>
          <cell r="F1516" t="str">
            <v>01.0535</v>
          </cell>
          <cell r="G1516">
            <v>45945</v>
          </cell>
          <cell r="H1516" t="str">
            <v>01.0535</v>
          </cell>
          <cell r="I1516" t="str">
            <v>ברמיל בע"מ</v>
          </cell>
          <cell r="J1516">
            <v>8.9499999999999993</v>
          </cell>
          <cell r="K1516" t="str">
            <v>₪</v>
          </cell>
          <cell r="L1516">
            <v>100</v>
          </cell>
          <cell r="M1516" t="str">
            <v>יח'</v>
          </cell>
          <cell r="N1516">
            <v>894.99999999999989</v>
          </cell>
        </row>
        <row r="1517">
          <cell r="B1517" t="str">
            <v>KNL1032J /MS51830-201L</v>
          </cell>
          <cell r="C1517">
            <v>42173</v>
          </cell>
          <cell r="D1517">
            <v>1</v>
          </cell>
          <cell r="E1517" t="str">
            <v>קשיח</v>
          </cell>
          <cell r="F1517" t="str">
            <v>01.0535</v>
          </cell>
          <cell r="G1517">
            <v>45921</v>
          </cell>
          <cell r="H1517" t="str">
            <v>01.0535</v>
          </cell>
          <cell r="I1517" t="str">
            <v>ברמיל בע"מ</v>
          </cell>
          <cell r="J1517">
            <v>8.9499999999999993</v>
          </cell>
          <cell r="K1517" t="str">
            <v>₪</v>
          </cell>
          <cell r="L1517">
            <v>100</v>
          </cell>
          <cell r="M1517" t="str">
            <v>יח'</v>
          </cell>
          <cell r="N1517">
            <v>894.99999999999989</v>
          </cell>
        </row>
        <row r="1518">
          <cell r="B1518" t="str">
            <v>KNL1032J /MS51830-201L</v>
          </cell>
          <cell r="C1518">
            <v>42130</v>
          </cell>
          <cell r="D1518">
            <v>1</v>
          </cell>
          <cell r="E1518" t="str">
            <v>קשיח</v>
          </cell>
          <cell r="F1518" t="str">
            <v>01.0535</v>
          </cell>
          <cell r="G1518">
            <v>45916</v>
          </cell>
          <cell r="H1518" t="str">
            <v>01.0535</v>
          </cell>
          <cell r="I1518" t="str">
            <v>ברמיל בע"מ</v>
          </cell>
          <cell r="J1518">
            <v>8.9499999999999993</v>
          </cell>
          <cell r="K1518" t="str">
            <v>₪</v>
          </cell>
          <cell r="L1518">
            <v>350</v>
          </cell>
          <cell r="M1518" t="str">
            <v>יח'</v>
          </cell>
          <cell r="N1518">
            <v>3132.4999999999995</v>
          </cell>
        </row>
        <row r="1519">
          <cell r="B1519" t="str">
            <v>KNL1032J /MS51830-201L</v>
          </cell>
          <cell r="C1519">
            <v>41864</v>
          </cell>
          <cell r="D1519">
            <v>1</v>
          </cell>
          <cell r="E1519" t="str">
            <v>קשיח</v>
          </cell>
          <cell r="F1519" t="str">
            <v>01.0535</v>
          </cell>
          <cell r="G1519">
            <v>45887</v>
          </cell>
          <cell r="H1519" t="str">
            <v>01.0535</v>
          </cell>
          <cell r="I1519" t="str">
            <v>ברמיל בע"מ</v>
          </cell>
          <cell r="J1519">
            <v>8.9499999999999993</v>
          </cell>
          <cell r="K1519" t="str">
            <v>₪</v>
          </cell>
          <cell r="L1519">
            <v>300</v>
          </cell>
          <cell r="M1519" t="str">
            <v>יח'</v>
          </cell>
          <cell r="N1519">
            <v>2685</v>
          </cell>
        </row>
        <row r="1520">
          <cell r="B1520" t="str">
            <v>KNL1032J /MS51830-201L</v>
          </cell>
          <cell r="C1520">
            <v>41180</v>
          </cell>
          <cell r="D1520">
            <v>1</v>
          </cell>
          <cell r="E1520" t="str">
            <v>קשיח</v>
          </cell>
          <cell r="F1520" t="str">
            <v>01.0535</v>
          </cell>
          <cell r="G1520">
            <v>45820</v>
          </cell>
          <cell r="H1520" t="str">
            <v>01.0535</v>
          </cell>
          <cell r="I1520" t="str">
            <v>גין מהנדסים בע"מ</v>
          </cell>
          <cell r="J1520">
            <v>9</v>
          </cell>
          <cell r="K1520" t="str">
            <v>₪</v>
          </cell>
          <cell r="L1520">
            <v>300</v>
          </cell>
          <cell r="M1520" t="str">
            <v>יח'</v>
          </cell>
          <cell r="N1520">
            <v>2700</v>
          </cell>
        </row>
        <row r="1521">
          <cell r="B1521" t="str">
            <v>KNL1032J /MS51830-201L</v>
          </cell>
          <cell r="C1521">
            <v>41009</v>
          </cell>
          <cell r="D1521">
            <v>1</v>
          </cell>
          <cell r="E1521" t="str">
            <v>קשיח</v>
          </cell>
          <cell r="F1521" t="str">
            <v>01.0535</v>
          </cell>
          <cell r="G1521">
            <v>45804</v>
          </cell>
          <cell r="H1521" t="str">
            <v>01.0535</v>
          </cell>
          <cell r="I1521" t="str">
            <v>גין מהנדסים בע"מ</v>
          </cell>
          <cell r="J1521">
            <v>9</v>
          </cell>
          <cell r="K1521" t="str">
            <v>₪</v>
          </cell>
          <cell r="L1521">
            <v>300</v>
          </cell>
          <cell r="M1521" t="str">
            <v>יח'</v>
          </cell>
          <cell r="N1521">
            <v>2700</v>
          </cell>
        </row>
        <row r="1522">
          <cell r="B1522" t="str">
            <v>KNL1032J /MS51830-201L</v>
          </cell>
          <cell r="C1522">
            <v>35950</v>
          </cell>
          <cell r="D1522">
            <v>1</v>
          </cell>
          <cell r="E1522" t="str">
            <v>קשיח</v>
          </cell>
          <cell r="F1522" t="str">
            <v>01.0535</v>
          </cell>
          <cell r="G1522">
            <v>45287</v>
          </cell>
          <cell r="H1522" t="str">
            <v>01.0535</v>
          </cell>
          <cell r="I1522" t="str">
            <v>גין מהנדסים בע"מ</v>
          </cell>
          <cell r="J1522">
            <v>0</v>
          </cell>
          <cell r="K1522" t="str">
            <v>₪</v>
          </cell>
          <cell r="M1522" t="str">
            <v>יח'</v>
          </cell>
        </row>
        <row r="1523">
          <cell r="B1523" t="str">
            <v>KNL1032J /MS51830-201L</v>
          </cell>
          <cell r="C1523">
            <v>35936</v>
          </cell>
          <cell r="D1523">
            <v>4</v>
          </cell>
          <cell r="E1523" t="str">
            <v>קשיח</v>
          </cell>
          <cell r="F1523" t="str">
            <v>01.0535</v>
          </cell>
          <cell r="G1523">
            <v>45286</v>
          </cell>
          <cell r="H1523" t="str">
            <v>01.0535</v>
          </cell>
          <cell r="I1523" t="str">
            <v>לוונשטיין טכנולוגיות בע"מ</v>
          </cell>
          <cell r="J1523">
            <v>0</v>
          </cell>
          <cell r="K1523" t="str">
            <v>₪</v>
          </cell>
          <cell r="L1523">
            <v>80</v>
          </cell>
          <cell r="M1523" t="str">
            <v>יח'</v>
          </cell>
          <cell r="N1523">
            <v>0</v>
          </cell>
        </row>
        <row r="1524">
          <cell r="B1524" t="str">
            <v>KNL1032J /MS51830-201L</v>
          </cell>
          <cell r="C1524">
            <v>35646</v>
          </cell>
          <cell r="D1524">
            <v>4</v>
          </cell>
          <cell r="E1524" t="str">
            <v>קשיח</v>
          </cell>
          <cell r="F1524" t="str">
            <v>01.0535</v>
          </cell>
          <cell r="G1524">
            <v>45256</v>
          </cell>
          <cell r="H1524" t="str">
            <v>01.0535</v>
          </cell>
          <cell r="I1524" t="str">
            <v>לוונשטיין טכנולוגיות בע"מ</v>
          </cell>
          <cell r="J1524">
            <v>7.3</v>
          </cell>
          <cell r="K1524" t="str">
            <v>₪</v>
          </cell>
          <cell r="L1524">
            <v>600</v>
          </cell>
          <cell r="M1524" t="str">
            <v>יח'</v>
          </cell>
          <cell r="N1524">
            <v>4380</v>
          </cell>
        </row>
        <row r="1525">
          <cell r="B1525" t="str">
            <v>MS51830-103L  /KNCL0632J</v>
          </cell>
          <cell r="C1525">
            <v>44812</v>
          </cell>
          <cell r="D1525">
            <v>6</v>
          </cell>
          <cell r="E1525" t="str">
            <v>קשיח</v>
          </cell>
          <cell r="F1525" t="str">
            <v>01.0536</v>
          </cell>
          <cell r="G1525">
            <v>46064</v>
          </cell>
          <cell r="H1525" t="str">
            <v>01.0536</v>
          </cell>
          <cell r="I1525" t="str">
            <v>ברמיל בע"מ</v>
          </cell>
          <cell r="J1525">
            <v>7.5</v>
          </cell>
          <cell r="K1525" t="str">
            <v>₪</v>
          </cell>
          <cell r="L1525">
            <v>180</v>
          </cell>
          <cell r="M1525" t="str">
            <v>יח'</v>
          </cell>
          <cell r="N1525">
            <v>1350</v>
          </cell>
        </row>
        <row r="1526">
          <cell r="B1526" t="str">
            <v>MS51830-103L  /KNCL0632J</v>
          </cell>
          <cell r="C1526">
            <v>42690</v>
          </cell>
          <cell r="D1526">
            <v>5</v>
          </cell>
          <cell r="E1526" t="str">
            <v>קשיח</v>
          </cell>
          <cell r="F1526" t="str">
            <v>01.0536</v>
          </cell>
          <cell r="G1526">
            <v>45977</v>
          </cell>
          <cell r="H1526" t="str">
            <v>01.0536</v>
          </cell>
          <cell r="I1526" t="str">
            <v>גין מהנדסים בע"מ</v>
          </cell>
          <cell r="J1526">
            <v>7.5</v>
          </cell>
          <cell r="K1526" t="str">
            <v>₪</v>
          </cell>
          <cell r="L1526">
            <v>180</v>
          </cell>
          <cell r="M1526" t="str">
            <v>יח'</v>
          </cell>
          <cell r="N1526">
            <v>1350</v>
          </cell>
        </row>
        <row r="1527">
          <cell r="B1527" t="str">
            <v>MS51830-103L  /KNCL0632J</v>
          </cell>
          <cell r="C1527">
            <v>41924</v>
          </cell>
          <cell r="D1527">
            <v>1</v>
          </cell>
          <cell r="E1527" t="str">
            <v>קשיח</v>
          </cell>
          <cell r="F1527" t="str">
            <v>01.0536</v>
          </cell>
          <cell r="G1527">
            <v>45894</v>
          </cell>
          <cell r="H1527" t="str">
            <v>01.0536</v>
          </cell>
          <cell r="I1527" t="str">
            <v>גין מהנדסים בע"מ</v>
          </cell>
          <cell r="J1527">
            <v>9.5</v>
          </cell>
          <cell r="K1527" t="str">
            <v>₪</v>
          </cell>
          <cell r="L1527">
            <v>50</v>
          </cell>
          <cell r="M1527" t="str">
            <v>יח'</v>
          </cell>
          <cell r="N1527">
            <v>475</v>
          </cell>
        </row>
        <row r="1528">
          <cell r="B1528" t="str">
            <v>MS51830-103L  /KNCL0632J</v>
          </cell>
          <cell r="C1528">
            <v>38962</v>
          </cell>
          <cell r="D1528">
            <v>1</v>
          </cell>
          <cell r="E1528" t="str">
            <v>קשיח</v>
          </cell>
          <cell r="F1528" t="str">
            <v>01.0536</v>
          </cell>
          <cell r="G1528">
            <v>45624</v>
          </cell>
          <cell r="H1528" t="str">
            <v>01.0536</v>
          </cell>
          <cell r="I1528" t="str">
            <v>גין מהנדסים בע"מ</v>
          </cell>
          <cell r="J1528">
            <v>7.7</v>
          </cell>
          <cell r="K1528" t="str">
            <v>₪</v>
          </cell>
          <cell r="L1528">
            <v>100</v>
          </cell>
          <cell r="M1528" t="str">
            <v>יח'</v>
          </cell>
          <cell r="N1528">
            <v>770</v>
          </cell>
        </row>
        <row r="1529">
          <cell r="B1529" t="str">
            <v>MS51830-103L  /KNCL0632J</v>
          </cell>
          <cell r="C1529">
            <v>35936</v>
          </cell>
          <cell r="D1529">
            <v>5</v>
          </cell>
          <cell r="E1529" t="str">
            <v>קשיח</v>
          </cell>
          <cell r="F1529" t="str">
            <v>01.0536</v>
          </cell>
          <cell r="G1529">
            <v>45286</v>
          </cell>
          <cell r="H1529" t="str">
            <v>01.0536</v>
          </cell>
          <cell r="I1529" t="str">
            <v>לוונשטיין טכנולוגיות בע"מ</v>
          </cell>
          <cell r="J1529">
            <v>0</v>
          </cell>
          <cell r="K1529" t="str">
            <v>₪</v>
          </cell>
          <cell r="L1529">
            <v>80</v>
          </cell>
          <cell r="M1529" t="str">
            <v>יח'</v>
          </cell>
          <cell r="N1529">
            <v>0</v>
          </cell>
        </row>
        <row r="1530">
          <cell r="B1530" t="str">
            <v>MS51830-103L  /KNCL0632J</v>
          </cell>
          <cell r="C1530">
            <v>35646</v>
          </cell>
          <cell r="D1530">
            <v>5</v>
          </cell>
          <cell r="E1530" t="str">
            <v>קשיח</v>
          </cell>
          <cell r="F1530" t="str">
            <v>01.0536</v>
          </cell>
          <cell r="G1530">
            <v>45256</v>
          </cell>
          <cell r="H1530" t="str">
            <v>01.0536</v>
          </cell>
          <cell r="I1530" t="str">
            <v>לוונשטיין טכנולוגיות בע"מ</v>
          </cell>
          <cell r="J1530">
            <v>6.9</v>
          </cell>
          <cell r="K1530" t="str">
            <v>₪</v>
          </cell>
          <cell r="L1530">
            <v>200</v>
          </cell>
          <cell r="M1530" t="str">
            <v>יח'</v>
          </cell>
          <cell r="N1530">
            <v>1380</v>
          </cell>
        </row>
        <row r="1531">
          <cell r="B1531" t="str">
            <v>ראש החדרה למכונה 2/56</v>
          </cell>
          <cell r="C1531">
            <v>39749</v>
          </cell>
          <cell r="D1531">
            <v>1</v>
          </cell>
          <cell r="E1531" t="str">
            <v>קשיח</v>
          </cell>
          <cell r="F1531" t="str">
            <v>01.0537</v>
          </cell>
          <cell r="G1531">
            <v>45697</v>
          </cell>
          <cell r="H1531" t="str">
            <v>01.0537</v>
          </cell>
          <cell r="I1531" t="str">
            <v>לוונשטיין טכנולוגיות בע"מ</v>
          </cell>
          <cell r="J1531">
            <v>372.4</v>
          </cell>
          <cell r="K1531" t="str">
            <v>₪</v>
          </cell>
          <cell r="L1531">
            <v>3</v>
          </cell>
          <cell r="M1531" t="str">
            <v>יח'</v>
          </cell>
          <cell r="N1531">
            <v>1117.1999999999998</v>
          </cell>
        </row>
        <row r="1532">
          <cell r="B1532" t="str">
            <v>ראש החדרה למכונה 2/56</v>
          </cell>
          <cell r="C1532">
            <v>28915</v>
          </cell>
          <cell r="D1532">
            <v>1</v>
          </cell>
          <cell r="E1532" t="str">
            <v>קשיח</v>
          </cell>
          <cell r="F1532" t="str">
            <v>01.0537</v>
          </cell>
          <cell r="G1532">
            <v>44340</v>
          </cell>
          <cell r="H1532" t="str">
            <v>01.0537</v>
          </cell>
          <cell r="I1532" t="str">
            <v>לוונשטיין טכנולוגיות</v>
          </cell>
          <cell r="J1532">
            <v>450</v>
          </cell>
          <cell r="K1532" t="str">
            <v>₪</v>
          </cell>
          <cell r="L1532">
            <v>1</v>
          </cell>
          <cell r="M1532" t="str">
            <v>יח'</v>
          </cell>
          <cell r="N1532">
            <v>450</v>
          </cell>
        </row>
        <row r="1533">
          <cell r="B1533" t="str">
            <v>LOCTITE 567</v>
          </cell>
          <cell r="C1533">
            <v>30162</v>
          </cell>
          <cell r="D1533">
            <v>5</v>
          </cell>
          <cell r="E1533" t="str">
            <v>קשיח</v>
          </cell>
          <cell r="F1533" t="str">
            <v>01.0540</v>
          </cell>
          <cell r="G1533">
            <v>44510</v>
          </cell>
          <cell r="H1533" t="str">
            <v>01.0540</v>
          </cell>
          <cell r="I1533" t="str">
            <v>מאור גבריאלי הספקה ט</v>
          </cell>
          <cell r="J1533">
            <v>0</v>
          </cell>
          <cell r="K1533" t="str">
            <v>₪</v>
          </cell>
          <cell r="M1533" t="str">
            <v>יח'</v>
          </cell>
        </row>
        <row r="1534">
          <cell r="B1534" t="str">
            <v>מתאם למנדרל בולוהוף</v>
          </cell>
          <cell r="C1534">
            <v>29672</v>
          </cell>
          <cell r="D1534">
            <v>2</v>
          </cell>
          <cell r="E1534" t="str">
            <v>קשיח</v>
          </cell>
          <cell r="F1534" t="str">
            <v>01.0543</v>
          </cell>
          <cell r="G1534">
            <v>44439</v>
          </cell>
          <cell r="H1534" t="str">
            <v>01.0543</v>
          </cell>
          <cell r="I1534" t="str">
            <v>לוונשטיין טכנולוגיות</v>
          </cell>
          <cell r="J1534">
            <v>370</v>
          </cell>
          <cell r="K1534" t="str">
            <v>₪</v>
          </cell>
          <cell r="L1534">
            <v>1</v>
          </cell>
          <cell r="M1534" t="str">
            <v>יח'</v>
          </cell>
          <cell r="N1534">
            <v>370</v>
          </cell>
        </row>
        <row r="1535">
          <cell r="B1535" t="str">
            <v>חולץ M2/M3.5</v>
          </cell>
          <cell r="C1535">
            <v>39749</v>
          </cell>
          <cell r="D1535">
            <v>17</v>
          </cell>
          <cell r="E1535" t="str">
            <v>קשיח</v>
          </cell>
          <cell r="F1535" t="str">
            <v>01.0547</v>
          </cell>
          <cell r="G1535">
            <v>45697</v>
          </cell>
          <cell r="H1535" t="str">
            <v>01.0547</v>
          </cell>
          <cell r="I1535" t="str">
            <v>לוונשטיין טכנולוגיות בע"מ</v>
          </cell>
          <cell r="J1535">
            <v>88.2</v>
          </cell>
          <cell r="K1535" t="str">
            <v>₪</v>
          </cell>
          <cell r="L1535">
            <v>2</v>
          </cell>
          <cell r="M1535" t="str">
            <v>יח'</v>
          </cell>
          <cell r="N1535">
            <v>176.4</v>
          </cell>
        </row>
        <row r="1536">
          <cell r="B1536" t="str">
            <v>חולץ M2/M3.5</v>
          </cell>
          <cell r="C1536">
            <v>39293</v>
          </cell>
          <cell r="D1536">
            <v>1</v>
          </cell>
          <cell r="E1536" t="str">
            <v>קשיח</v>
          </cell>
          <cell r="F1536" t="str">
            <v>01.0547</v>
          </cell>
          <cell r="G1536">
            <v>45652</v>
          </cell>
          <cell r="H1536" t="str">
            <v>01.0547</v>
          </cell>
          <cell r="I1536" t="str">
            <v>לוונשטיין טכנולוגיות בע"מ</v>
          </cell>
          <cell r="J1536">
            <v>90</v>
          </cell>
          <cell r="K1536" t="str">
            <v>₪</v>
          </cell>
          <cell r="L1536">
            <v>2</v>
          </cell>
          <cell r="M1536" t="str">
            <v>יח'</v>
          </cell>
          <cell r="N1536">
            <v>180</v>
          </cell>
        </row>
        <row r="1537">
          <cell r="B1537" t="str">
            <v>חולץ M2/M3.5</v>
          </cell>
          <cell r="C1537">
            <v>29672</v>
          </cell>
          <cell r="D1537">
            <v>6</v>
          </cell>
          <cell r="E1537" t="str">
            <v>קשיח</v>
          </cell>
          <cell r="F1537" t="str">
            <v>01.0547</v>
          </cell>
          <cell r="G1537">
            <v>44439</v>
          </cell>
          <cell r="H1537" t="str">
            <v>01.0547</v>
          </cell>
          <cell r="I1537" t="str">
            <v>לוונשטיין טכנולוגיות</v>
          </cell>
          <cell r="J1537">
            <v>80</v>
          </cell>
          <cell r="K1537" t="str">
            <v>₪</v>
          </cell>
          <cell r="L1537">
            <v>1</v>
          </cell>
          <cell r="M1537" t="str">
            <v>יח'</v>
          </cell>
          <cell r="N1537">
            <v>80</v>
          </cell>
        </row>
        <row r="1538">
          <cell r="B1538" t="str">
            <v>חולץ M4/10</v>
          </cell>
          <cell r="C1538">
            <v>29672</v>
          </cell>
          <cell r="D1538">
            <v>7</v>
          </cell>
          <cell r="E1538" t="str">
            <v>קשיח</v>
          </cell>
          <cell r="F1538" t="str">
            <v>01.0548</v>
          </cell>
          <cell r="G1538">
            <v>44439</v>
          </cell>
          <cell r="H1538" t="str">
            <v>01.0548</v>
          </cell>
          <cell r="I1538" t="str">
            <v>לוונשטיין טכנולוגיות</v>
          </cell>
          <cell r="J1538">
            <v>80</v>
          </cell>
          <cell r="K1538" t="str">
            <v>₪</v>
          </cell>
          <cell r="L1538">
            <v>1</v>
          </cell>
          <cell r="M1538" t="str">
            <v>יח'</v>
          </cell>
          <cell r="N1538">
            <v>80</v>
          </cell>
        </row>
        <row r="1539">
          <cell r="B1539" t="str">
            <v>חולץ 11-16</v>
          </cell>
          <cell r="C1539">
            <v>29672</v>
          </cell>
          <cell r="D1539">
            <v>8</v>
          </cell>
          <cell r="E1539" t="str">
            <v>קשיח</v>
          </cell>
          <cell r="F1539" t="str">
            <v>01.0549</v>
          </cell>
          <cell r="G1539">
            <v>44439</v>
          </cell>
          <cell r="H1539" t="str">
            <v>01.0549</v>
          </cell>
          <cell r="I1539" t="str">
            <v>לוונשטיין טכנולוגיות</v>
          </cell>
          <cell r="J1539">
            <v>85</v>
          </cell>
          <cell r="K1539" t="str">
            <v>₪</v>
          </cell>
          <cell r="L1539">
            <v>1</v>
          </cell>
          <cell r="M1539" t="str">
            <v>יח'</v>
          </cell>
          <cell r="N1539">
            <v>85</v>
          </cell>
        </row>
        <row r="1540">
          <cell r="B1540" t="str">
            <v>חולץ M18/22</v>
          </cell>
          <cell r="C1540">
            <v>29672</v>
          </cell>
          <cell r="D1540">
            <v>9</v>
          </cell>
          <cell r="E1540" t="str">
            <v>קשיח</v>
          </cell>
          <cell r="F1540" t="str">
            <v>01.0550</v>
          </cell>
          <cell r="G1540">
            <v>44439</v>
          </cell>
          <cell r="H1540" t="str">
            <v>01.0550</v>
          </cell>
          <cell r="I1540" t="str">
            <v>לוונשטיין טכנולוגיות</v>
          </cell>
          <cell r="J1540">
            <v>110</v>
          </cell>
          <cell r="K1540" t="str">
            <v>₪</v>
          </cell>
          <cell r="L1540">
            <v>1</v>
          </cell>
          <cell r="M1540" t="str">
            <v>יח'</v>
          </cell>
          <cell r="N1540">
            <v>110</v>
          </cell>
        </row>
        <row r="1541">
          <cell r="B1541" t="str">
            <v>MS21209C1-10</v>
          </cell>
          <cell r="C1541">
            <v>30580</v>
          </cell>
          <cell r="D1541">
            <v>1</v>
          </cell>
          <cell r="E1541" t="str">
            <v>קשיח</v>
          </cell>
          <cell r="F1541" t="str">
            <v>01.0552</v>
          </cell>
          <cell r="G1541">
            <v>44560</v>
          </cell>
          <cell r="H1541" t="str">
            <v>01.0552</v>
          </cell>
          <cell r="I1541" t="str">
            <v>גין מהנדסים בע"מ</v>
          </cell>
          <cell r="J1541">
            <v>1.17</v>
          </cell>
          <cell r="K1541" t="str">
            <v>₪</v>
          </cell>
          <cell r="L1541">
            <v>100</v>
          </cell>
          <cell r="M1541" t="str">
            <v>יח'</v>
          </cell>
          <cell r="N1541">
            <v>117</v>
          </cell>
        </row>
        <row r="1542">
          <cell r="B1542" t="str">
            <v>MS21209C1-10</v>
          </cell>
          <cell r="C1542">
            <v>30428</v>
          </cell>
          <cell r="D1542">
            <v>2</v>
          </cell>
          <cell r="E1542" t="str">
            <v>קשיח</v>
          </cell>
          <cell r="F1542" t="str">
            <v>01.0552</v>
          </cell>
          <cell r="G1542">
            <v>44543</v>
          </cell>
          <cell r="H1542" t="str">
            <v>01.0552</v>
          </cell>
          <cell r="I1542" t="str">
            <v>לוונשטיין טכנולוגיות בע"מ</v>
          </cell>
          <cell r="J1542">
            <v>1.2</v>
          </cell>
          <cell r="K1542" t="str">
            <v>₪</v>
          </cell>
          <cell r="L1542">
            <v>90</v>
          </cell>
          <cell r="M1542" t="str">
            <v>יח'</v>
          </cell>
          <cell r="N1542">
            <v>108</v>
          </cell>
        </row>
        <row r="1543">
          <cell r="B1543" t="str">
            <v>MS 21209CO220  2 -56X2D</v>
          </cell>
          <cell r="C1543">
            <v>31505</v>
          </cell>
          <cell r="D1543">
            <v>1</v>
          </cell>
          <cell r="E1543" t="str">
            <v>קשיח</v>
          </cell>
          <cell r="F1543" t="str">
            <v>01.0553</v>
          </cell>
          <cell r="G1543">
            <v>44693</v>
          </cell>
          <cell r="H1543" t="str">
            <v>01.0553</v>
          </cell>
          <cell r="I1543" t="str">
            <v>גין מהנדסים בע"מ</v>
          </cell>
          <cell r="J1543">
            <v>0.7</v>
          </cell>
          <cell r="K1543" t="str">
            <v>₪</v>
          </cell>
          <cell r="L1543">
            <v>1000</v>
          </cell>
          <cell r="M1543" t="str">
            <v>יח'</v>
          </cell>
          <cell r="N1543">
            <v>700</v>
          </cell>
        </row>
        <row r="1544">
          <cell r="B1544" t="str">
            <v>MS 21209CO220 [3585-02CN0172]</v>
          </cell>
          <cell r="C1544">
            <v>31489</v>
          </cell>
          <cell r="D1544">
            <v>1</v>
          </cell>
          <cell r="E1544" t="str">
            <v>קשיח</v>
          </cell>
          <cell r="F1544" t="str">
            <v>01.0553</v>
          </cell>
          <cell r="G1544">
            <v>44692</v>
          </cell>
          <cell r="H1544" t="str">
            <v>01.0553</v>
          </cell>
          <cell r="I1544" t="str">
            <v>דר טכנולוגיות בע"מ</v>
          </cell>
          <cell r="J1544">
            <v>0.5</v>
          </cell>
          <cell r="K1544" t="str">
            <v>₪</v>
          </cell>
          <cell r="L1544">
            <v>100</v>
          </cell>
          <cell r="M1544" t="str">
            <v>יח'</v>
          </cell>
          <cell r="N1544">
            <v>50</v>
          </cell>
        </row>
        <row r="1545">
          <cell r="B1545" t="str">
            <v>כלי החדרה למכונה פנאומטית 4-40 ללא מצמד</v>
          </cell>
          <cell r="C1545">
            <v>30813</v>
          </cell>
          <cell r="D1545">
            <v>1</v>
          </cell>
          <cell r="E1545" t="str">
            <v>קשיח</v>
          </cell>
          <cell r="F1545" t="str">
            <v>01.0557</v>
          </cell>
          <cell r="G1545">
            <v>44595</v>
          </cell>
          <cell r="H1545" t="str">
            <v>01.0557</v>
          </cell>
          <cell r="I1545" t="str">
            <v>דר טכנולוגיות בע"מ</v>
          </cell>
          <cell r="J1545">
            <v>430</v>
          </cell>
          <cell r="K1545" t="str">
            <v>₪</v>
          </cell>
          <cell r="L1545">
            <v>2</v>
          </cell>
          <cell r="M1545" t="str">
            <v>יח'</v>
          </cell>
          <cell r="N1545">
            <v>860</v>
          </cell>
        </row>
        <row r="1546">
          <cell r="B1546" t="str">
            <v>כלי החדרה למכונה פנאומטית 6-32 ללא מצמד</v>
          </cell>
          <cell r="C1546">
            <v>30813</v>
          </cell>
          <cell r="D1546">
            <v>2</v>
          </cell>
          <cell r="E1546" t="str">
            <v>קשיח</v>
          </cell>
          <cell r="F1546" t="str">
            <v>01.0558</v>
          </cell>
          <cell r="G1546">
            <v>44595</v>
          </cell>
          <cell r="H1546" t="str">
            <v>01.0558</v>
          </cell>
          <cell r="I1546" t="str">
            <v>דר טכנולוגיות בע"מ</v>
          </cell>
          <cell r="J1546">
            <v>430</v>
          </cell>
          <cell r="K1546" t="str">
            <v>₪</v>
          </cell>
          <cell r="L1546">
            <v>2</v>
          </cell>
          <cell r="M1546" t="str">
            <v>יח'</v>
          </cell>
          <cell r="N1546">
            <v>860</v>
          </cell>
        </row>
        <row r="1547">
          <cell r="B1547" t="str">
            <v>כלי החדרה למכונה פנאומטית 8-32 ללא מצמד</v>
          </cell>
          <cell r="C1547">
            <v>30813</v>
          </cell>
          <cell r="D1547">
            <v>3</v>
          </cell>
          <cell r="E1547" t="str">
            <v>קשיח</v>
          </cell>
          <cell r="F1547" t="str">
            <v>01.0559</v>
          </cell>
          <cell r="G1547">
            <v>44595</v>
          </cell>
          <cell r="H1547" t="str">
            <v>01.0559</v>
          </cell>
          <cell r="I1547" t="str">
            <v>דר טכנולוגיות בע"מ</v>
          </cell>
          <cell r="J1547">
            <v>430</v>
          </cell>
          <cell r="K1547" t="str">
            <v>₪</v>
          </cell>
          <cell r="L1547">
            <v>2</v>
          </cell>
          <cell r="M1547" t="str">
            <v>יח'</v>
          </cell>
          <cell r="N1547">
            <v>860</v>
          </cell>
        </row>
        <row r="1548">
          <cell r="B1548" t="str">
            <v>כלי החדרה למכונה פנאומטית M4 ללא מצמד</v>
          </cell>
          <cell r="C1548">
            <v>30813</v>
          </cell>
          <cell r="D1548">
            <v>4</v>
          </cell>
          <cell r="E1548" t="str">
            <v>קשיח</v>
          </cell>
          <cell r="F1548" t="str">
            <v>01.0560</v>
          </cell>
          <cell r="G1548">
            <v>44595</v>
          </cell>
          <cell r="H1548" t="str">
            <v>01.0560</v>
          </cell>
          <cell r="I1548" t="str">
            <v>דר טכנולוגיות בע"מ</v>
          </cell>
          <cell r="J1548">
            <v>430</v>
          </cell>
          <cell r="K1548" t="str">
            <v>₪</v>
          </cell>
          <cell r="L1548">
            <v>2</v>
          </cell>
          <cell r="M1548" t="str">
            <v>יח'</v>
          </cell>
          <cell r="N1548">
            <v>860</v>
          </cell>
        </row>
        <row r="1549">
          <cell r="B1549" t="str">
            <v>כלי החדרה למכונה פנאומטית M2.5 ללא מצמד</v>
          </cell>
          <cell r="C1549">
            <v>30901</v>
          </cell>
          <cell r="D1549">
            <v>1</v>
          </cell>
          <cell r="E1549" t="str">
            <v>קשיח</v>
          </cell>
          <cell r="F1549" t="str">
            <v>01.0561</v>
          </cell>
          <cell r="G1549">
            <v>44608</v>
          </cell>
          <cell r="H1549" t="str">
            <v>01.0561</v>
          </cell>
          <cell r="I1549" t="str">
            <v>דר טכנולוגיות בע"מ</v>
          </cell>
          <cell r="J1549">
            <v>430</v>
          </cell>
          <cell r="K1549" t="str">
            <v>₪</v>
          </cell>
          <cell r="L1549">
            <v>2</v>
          </cell>
          <cell r="M1549" t="str">
            <v>יח'</v>
          </cell>
          <cell r="N1549">
            <v>860</v>
          </cell>
        </row>
        <row r="1550">
          <cell r="B1550" t="str">
            <v>כלי החדרה למכונה פנאומטית M3 ללא מצמד</v>
          </cell>
          <cell r="C1550">
            <v>30901</v>
          </cell>
          <cell r="D1550">
            <v>2</v>
          </cell>
          <cell r="E1550" t="str">
            <v>קשיח</v>
          </cell>
          <cell r="F1550" t="str">
            <v>01.0562</v>
          </cell>
          <cell r="G1550">
            <v>44608</v>
          </cell>
          <cell r="H1550" t="str">
            <v>01.0562</v>
          </cell>
          <cell r="I1550" t="str">
            <v>דר טכנולוגיות בע"מ</v>
          </cell>
          <cell r="J1550">
            <v>430</v>
          </cell>
          <cell r="K1550" t="str">
            <v>₪</v>
          </cell>
          <cell r="L1550">
            <v>2</v>
          </cell>
          <cell r="M1550" t="str">
            <v>יח'</v>
          </cell>
          <cell r="N1550">
            <v>860</v>
          </cell>
        </row>
        <row r="1551">
          <cell r="B1551" t="str">
            <v>MS21209F4-15P/3591-4CNY375</v>
          </cell>
          <cell r="C1551">
            <v>42382</v>
          </cell>
          <cell r="D1551">
            <v>1</v>
          </cell>
          <cell r="E1551" t="str">
            <v>קשיח</v>
          </cell>
          <cell r="F1551" t="str">
            <v>01.0563</v>
          </cell>
          <cell r="G1551">
            <v>45949</v>
          </cell>
          <cell r="H1551" t="str">
            <v>01.0563</v>
          </cell>
          <cell r="I1551" t="str">
            <v>ברמיל בע"מ</v>
          </cell>
          <cell r="J1551">
            <v>1.95</v>
          </cell>
          <cell r="K1551" t="str">
            <v>₪</v>
          </cell>
          <cell r="L1551">
            <v>250</v>
          </cell>
          <cell r="M1551" t="str">
            <v>יח'</v>
          </cell>
          <cell r="N1551">
            <v>487.5</v>
          </cell>
        </row>
        <row r="1552">
          <cell r="B1552" t="str">
            <v>MS21209F4-15P/3591-4CNY375</v>
          </cell>
          <cell r="C1552">
            <v>42139</v>
          </cell>
          <cell r="D1552">
            <v>1</v>
          </cell>
          <cell r="E1552" t="str">
            <v>קשיח</v>
          </cell>
          <cell r="F1552" t="str">
            <v>01.0563</v>
          </cell>
          <cell r="G1552">
            <v>45917</v>
          </cell>
          <cell r="H1552" t="str">
            <v>01.0563</v>
          </cell>
          <cell r="I1552" t="str">
            <v>ברמיל בע"מ</v>
          </cell>
          <cell r="J1552">
            <v>1.95</v>
          </cell>
          <cell r="K1552" t="str">
            <v>₪</v>
          </cell>
          <cell r="L1552">
            <v>350</v>
          </cell>
          <cell r="M1552" t="str">
            <v>יח'</v>
          </cell>
          <cell r="N1552">
            <v>682.5</v>
          </cell>
        </row>
        <row r="1553">
          <cell r="B1553" t="str">
            <v>MS21209F4-15P/3591-4CNY375</v>
          </cell>
          <cell r="C1553">
            <v>41823</v>
          </cell>
          <cell r="D1553">
            <v>1</v>
          </cell>
          <cell r="E1553" t="str">
            <v>קשיח</v>
          </cell>
          <cell r="F1553" t="str">
            <v>01.0563</v>
          </cell>
          <cell r="G1553">
            <v>45886</v>
          </cell>
          <cell r="H1553" t="str">
            <v>01.0563</v>
          </cell>
          <cell r="I1553" t="str">
            <v>ברמיל בע"מ</v>
          </cell>
          <cell r="J1553">
            <v>1.95</v>
          </cell>
          <cell r="K1553" t="str">
            <v>₪</v>
          </cell>
          <cell r="L1553">
            <v>500</v>
          </cell>
          <cell r="M1553" t="str">
            <v>יח'</v>
          </cell>
          <cell r="N1553">
            <v>975</v>
          </cell>
        </row>
        <row r="1554">
          <cell r="B1554" t="str">
            <v>MS21209F4-15P/3591-4CNY375</v>
          </cell>
          <cell r="C1554">
            <v>41764</v>
          </cell>
          <cell r="D1554">
            <v>1</v>
          </cell>
          <cell r="E1554" t="str">
            <v>קשיח</v>
          </cell>
          <cell r="F1554" t="str">
            <v>01.0563</v>
          </cell>
          <cell r="G1554">
            <v>45880</v>
          </cell>
          <cell r="H1554" t="str">
            <v>01.0563</v>
          </cell>
          <cell r="I1554" t="str">
            <v>ברמיל בע"מ</v>
          </cell>
          <cell r="J1554">
            <v>1.95</v>
          </cell>
          <cell r="K1554" t="str">
            <v>₪</v>
          </cell>
          <cell r="L1554">
            <v>500</v>
          </cell>
          <cell r="M1554" t="str">
            <v>יח'</v>
          </cell>
          <cell r="N1554">
            <v>975</v>
          </cell>
        </row>
        <row r="1555">
          <cell r="B1555" t="str">
            <v>MS21209F4-15P/3591-4CNY375</v>
          </cell>
          <cell r="C1555">
            <v>41557</v>
          </cell>
          <cell r="D1555">
            <v>1</v>
          </cell>
          <cell r="E1555" t="str">
            <v>קשיח</v>
          </cell>
          <cell r="F1555" t="str">
            <v>01.0563</v>
          </cell>
          <cell r="G1555">
            <v>45860</v>
          </cell>
          <cell r="H1555" t="str">
            <v>01.0563</v>
          </cell>
          <cell r="I1555" t="str">
            <v>ברמיל בע"מ</v>
          </cell>
          <cell r="J1555">
            <v>1.95</v>
          </cell>
          <cell r="K1555" t="str">
            <v>₪</v>
          </cell>
          <cell r="L1555">
            <v>500</v>
          </cell>
          <cell r="M1555" t="str">
            <v>יח'</v>
          </cell>
          <cell r="N1555">
            <v>975</v>
          </cell>
        </row>
        <row r="1556">
          <cell r="B1556" t="str">
            <v>MS21209F4-15P/3591-4CNY375</v>
          </cell>
          <cell r="C1556">
            <v>37341</v>
          </cell>
          <cell r="D1556">
            <v>1</v>
          </cell>
          <cell r="E1556" t="str">
            <v>קשיח</v>
          </cell>
          <cell r="F1556" t="str">
            <v>01.0563</v>
          </cell>
          <cell r="G1556">
            <v>45442</v>
          </cell>
          <cell r="H1556" t="str">
            <v>01.0563</v>
          </cell>
          <cell r="I1556" t="str">
            <v>גין מהנדסים בע"מ</v>
          </cell>
          <cell r="J1556">
            <v>1.5</v>
          </cell>
          <cell r="K1556" t="str">
            <v>₪</v>
          </cell>
          <cell r="L1556">
            <v>200</v>
          </cell>
          <cell r="M1556" t="str">
            <v>יח'</v>
          </cell>
          <cell r="N1556">
            <v>300</v>
          </cell>
        </row>
        <row r="1557">
          <cell r="B1557" t="str">
            <v>MS21209F4-15P/3591-4CNY375</v>
          </cell>
          <cell r="C1557">
            <v>36872</v>
          </cell>
          <cell r="D1557">
            <v>1</v>
          </cell>
          <cell r="E1557" t="str">
            <v>קשיח</v>
          </cell>
          <cell r="F1557" t="str">
            <v>01.0563</v>
          </cell>
          <cell r="G1557">
            <v>45390</v>
          </cell>
          <cell r="H1557" t="str">
            <v>01.0563</v>
          </cell>
          <cell r="I1557" t="str">
            <v>גין מהנדסים בע"מ</v>
          </cell>
          <cell r="J1557">
            <v>1.5</v>
          </cell>
          <cell r="K1557" t="str">
            <v>₪</v>
          </cell>
          <cell r="L1557">
            <v>200</v>
          </cell>
          <cell r="M1557" t="str">
            <v>יח'</v>
          </cell>
          <cell r="N1557">
            <v>300</v>
          </cell>
        </row>
        <row r="1558">
          <cell r="B1558" t="str">
            <v>MS21209F4-15P</v>
          </cell>
          <cell r="C1558">
            <v>32265</v>
          </cell>
          <cell r="D1558">
            <v>1</v>
          </cell>
          <cell r="E1558" t="str">
            <v>קשיח</v>
          </cell>
          <cell r="F1558" t="str">
            <v>01.0563</v>
          </cell>
          <cell r="G1558">
            <v>44797</v>
          </cell>
          <cell r="H1558" t="str">
            <v>01.0563</v>
          </cell>
          <cell r="I1558" t="str">
            <v>גין מהנדסים בע"מ</v>
          </cell>
          <cell r="J1558">
            <v>2.5</v>
          </cell>
          <cell r="K1558" t="str">
            <v>₪</v>
          </cell>
          <cell r="L1558">
            <v>50</v>
          </cell>
          <cell r="M1558" t="str">
            <v>יח'</v>
          </cell>
          <cell r="N1558">
            <v>125</v>
          </cell>
        </row>
        <row r="1559">
          <cell r="B1559" t="str">
            <v>מחדש תבריג    1/4-28</v>
          </cell>
          <cell r="C1559">
            <v>31222</v>
          </cell>
          <cell r="D1559">
            <v>1</v>
          </cell>
          <cell r="E1559" t="str">
            <v>קשיח</v>
          </cell>
          <cell r="F1559" t="str">
            <v>01.0565</v>
          </cell>
          <cell r="G1559">
            <v>44650</v>
          </cell>
          <cell r="H1559" t="str">
            <v>01.0565</v>
          </cell>
          <cell r="I1559" t="str">
            <v>גין מהנדסים בע"מ</v>
          </cell>
          <cell r="J1559">
            <v>130</v>
          </cell>
          <cell r="K1559" t="str">
            <v>₪</v>
          </cell>
          <cell r="L1559">
            <v>1</v>
          </cell>
          <cell r="M1559" t="str">
            <v>יח'</v>
          </cell>
          <cell r="N1559">
            <v>130</v>
          </cell>
        </row>
        <row r="1560">
          <cell r="B1560" t="str">
            <v>מחדש תבריג 10/32</v>
          </cell>
          <cell r="C1560">
            <v>31222</v>
          </cell>
          <cell r="D1560">
            <v>2</v>
          </cell>
          <cell r="E1560" t="str">
            <v>קשיח</v>
          </cell>
          <cell r="F1560" t="str">
            <v>01.0566</v>
          </cell>
          <cell r="G1560">
            <v>44650</v>
          </cell>
          <cell r="H1560" t="str">
            <v>01.0566</v>
          </cell>
          <cell r="I1560" t="str">
            <v>גין מהנדסים בע"מ</v>
          </cell>
          <cell r="J1560">
            <v>130</v>
          </cell>
          <cell r="K1560" t="str">
            <v>₪</v>
          </cell>
          <cell r="L1560">
            <v>1</v>
          </cell>
          <cell r="M1560" t="str">
            <v>יח'</v>
          </cell>
          <cell r="N1560">
            <v>130</v>
          </cell>
        </row>
        <row r="1561">
          <cell r="B1561" t="str">
            <v>מחדש תבריג 5/16-24</v>
          </cell>
          <cell r="C1561">
            <v>31222</v>
          </cell>
          <cell r="D1561">
            <v>3</v>
          </cell>
          <cell r="E1561" t="str">
            <v>קשיח</v>
          </cell>
          <cell r="F1561" t="str">
            <v>01.0567</v>
          </cell>
          <cell r="G1561">
            <v>44650</v>
          </cell>
          <cell r="H1561" t="str">
            <v>01.0567</v>
          </cell>
          <cell r="I1561" t="str">
            <v>גין מהנדסים בע"מ</v>
          </cell>
          <cell r="J1561">
            <v>130</v>
          </cell>
          <cell r="K1561" t="str">
            <v>₪</v>
          </cell>
          <cell r="L1561">
            <v>1</v>
          </cell>
          <cell r="M1561" t="str">
            <v>יח'</v>
          </cell>
          <cell r="N1561">
            <v>130</v>
          </cell>
        </row>
        <row r="1562">
          <cell r="B1562" t="str">
            <v>MS124695 Special</v>
          </cell>
          <cell r="C1562">
            <v>31309</v>
          </cell>
          <cell r="D1562">
            <v>2</v>
          </cell>
          <cell r="E1562" t="str">
            <v>קשיח</v>
          </cell>
          <cell r="F1562" t="str">
            <v>01.0570</v>
          </cell>
          <cell r="G1562">
            <v>44662</v>
          </cell>
          <cell r="H1562" t="str">
            <v>01.0570</v>
          </cell>
          <cell r="I1562" t="str">
            <v>לוונשטיין טכנולוגיות בע"מ</v>
          </cell>
          <cell r="J1562">
            <v>2.1</v>
          </cell>
          <cell r="K1562" t="str">
            <v>₪</v>
          </cell>
          <cell r="L1562">
            <v>100</v>
          </cell>
          <cell r="M1562" t="str">
            <v>יח'</v>
          </cell>
          <cell r="N1562">
            <v>210</v>
          </cell>
        </row>
        <row r="1563">
          <cell r="B1563" t="str">
            <v>מכשיר פנאומטי להחדרת קינסרטים</v>
          </cell>
          <cell r="C1563">
            <v>31331</v>
          </cell>
          <cell r="D1563">
            <v>1</v>
          </cell>
          <cell r="E1563" t="str">
            <v>קשיח</v>
          </cell>
          <cell r="F1563" t="str">
            <v>01.0571</v>
          </cell>
          <cell r="G1563">
            <v>44664</v>
          </cell>
          <cell r="H1563" t="str">
            <v>01.0571</v>
          </cell>
          <cell r="I1563" t="str">
            <v>לוונשטיין טכנולוגיות בע"מ</v>
          </cell>
          <cell r="J1563">
            <v>7100</v>
          </cell>
          <cell r="K1563" t="str">
            <v>₪</v>
          </cell>
          <cell r="L1563">
            <v>1</v>
          </cell>
          <cell r="M1563" t="str">
            <v>יח'</v>
          </cell>
          <cell r="N1563">
            <v>7100</v>
          </cell>
        </row>
        <row r="1564">
          <cell r="B1564" t="str">
            <v>ראש החדרה למכונה פנאומטית 51830-203/למצ8</v>
          </cell>
          <cell r="C1564">
            <v>31331</v>
          </cell>
          <cell r="D1564">
            <v>2</v>
          </cell>
          <cell r="E1564" t="str">
            <v>קשיח</v>
          </cell>
          <cell r="F1564" t="str">
            <v>01.0572</v>
          </cell>
          <cell r="G1564">
            <v>44664</v>
          </cell>
          <cell r="H1564" t="str">
            <v>01.0572</v>
          </cell>
          <cell r="I1564" t="str">
            <v>לוונשטיין טכנולוגיות בע"מ</v>
          </cell>
          <cell r="J1564">
            <v>200</v>
          </cell>
          <cell r="K1564" t="str">
            <v>₪</v>
          </cell>
          <cell r="L1564">
            <v>1</v>
          </cell>
          <cell r="M1564" t="str">
            <v>יח'</v>
          </cell>
          <cell r="N1564">
            <v>200</v>
          </cell>
        </row>
        <row r="1565">
          <cell r="B1565" t="str">
            <v>ראש החדרה למכונה פנאומטית 51830-202</v>
          </cell>
          <cell r="C1565">
            <v>31331</v>
          </cell>
          <cell r="D1565">
            <v>3</v>
          </cell>
          <cell r="E1565" t="str">
            <v>קשיח</v>
          </cell>
          <cell r="F1565" t="str">
            <v>01.0572</v>
          </cell>
          <cell r="G1565">
            <v>44664</v>
          </cell>
          <cell r="H1565" t="str">
            <v>01.0572</v>
          </cell>
          <cell r="I1565" t="str">
            <v>לוונשטיין טכנולוגיות בע"מ</v>
          </cell>
          <cell r="J1565">
            <v>230</v>
          </cell>
          <cell r="K1565" t="str">
            <v>₪</v>
          </cell>
          <cell r="L1565">
            <v>1</v>
          </cell>
          <cell r="M1565" t="str">
            <v>יח'</v>
          </cell>
          <cell r="N1565">
            <v>230</v>
          </cell>
        </row>
        <row r="1566">
          <cell r="B1566" t="str">
            <v>ראש החדרה למכונה פנאומטית 51830-201/105</v>
          </cell>
          <cell r="C1566">
            <v>31331</v>
          </cell>
          <cell r="D1566">
            <v>4</v>
          </cell>
          <cell r="E1566" t="str">
            <v>קשיח</v>
          </cell>
          <cell r="F1566" t="str">
            <v>01.0572</v>
          </cell>
          <cell r="G1566">
            <v>44664</v>
          </cell>
          <cell r="H1566" t="str">
            <v>01.0572</v>
          </cell>
          <cell r="I1566" t="str">
            <v>לוונשטיין טכנולוגיות בע"מ</v>
          </cell>
          <cell r="J1566">
            <v>230</v>
          </cell>
          <cell r="K1566" t="str">
            <v>₪</v>
          </cell>
          <cell r="L1566">
            <v>1</v>
          </cell>
          <cell r="M1566" t="str">
            <v>יח'</v>
          </cell>
          <cell r="N1566">
            <v>230</v>
          </cell>
        </row>
        <row r="1567">
          <cell r="B1567" t="str">
            <v>ראש החדרה למכונה פנאומטית 51830-108</v>
          </cell>
          <cell r="C1567">
            <v>31331</v>
          </cell>
          <cell r="D1567">
            <v>5</v>
          </cell>
          <cell r="E1567" t="str">
            <v>קשיח</v>
          </cell>
          <cell r="F1567" t="str">
            <v>01.0572</v>
          </cell>
          <cell r="G1567">
            <v>44664</v>
          </cell>
          <cell r="H1567" t="str">
            <v>01.0572</v>
          </cell>
          <cell r="I1567" t="str">
            <v>לוונשטיין טכנולוגיות בע"מ</v>
          </cell>
          <cell r="J1567">
            <v>200</v>
          </cell>
          <cell r="K1567" t="str">
            <v>₪</v>
          </cell>
          <cell r="L1567">
            <v>1</v>
          </cell>
          <cell r="M1567" t="str">
            <v>יח'</v>
          </cell>
          <cell r="N1567">
            <v>200</v>
          </cell>
        </row>
        <row r="1568">
          <cell r="B1568" t="str">
            <v>ראש החדרה למכונה פנאומטית NF10-32 FLAT</v>
          </cell>
          <cell r="C1568">
            <v>31331</v>
          </cell>
          <cell r="D1568">
            <v>6</v>
          </cell>
          <cell r="E1568" t="str">
            <v>קשיח</v>
          </cell>
          <cell r="F1568" t="str">
            <v>01.0572</v>
          </cell>
          <cell r="G1568">
            <v>44664</v>
          </cell>
          <cell r="H1568" t="str">
            <v>01.0572</v>
          </cell>
          <cell r="I1568" t="str">
            <v>לוונשטיין טכנולוגיות בע"מ</v>
          </cell>
          <cell r="J1568">
            <v>230</v>
          </cell>
          <cell r="K1568" t="str">
            <v>₪</v>
          </cell>
          <cell r="L1568">
            <v>1</v>
          </cell>
          <cell r="M1568" t="str">
            <v>יח'</v>
          </cell>
          <cell r="N1568">
            <v>230</v>
          </cell>
        </row>
        <row r="1569">
          <cell r="B1569" t="str">
            <v>KNML6*1  402030803</v>
          </cell>
          <cell r="C1569">
            <v>31521</v>
          </cell>
          <cell r="D1569">
            <v>1</v>
          </cell>
          <cell r="E1569" t="str">
            <v>קשיח</v>
          </cell>
          <cell r="F1569" t="str">
            <v>01.0573</v>
          </cell>
          <cell r="G1569">
            <v>44696</v>
          </cell>
          <cell r="H1569" t="str">
            <v>01.0573</v>
          </cell>
          <cell r="I1569" t="str">
            <v>לוונשטיין טכנולוגיות בע"מ</v>
          </cell>
          <cell r="J1569">
            <v>13.2</v>
          </cell>
          <cell r="K1569" t="str">
            <v>₪</v>
          </cell>
          <cell r="L1569">
            <v>35</v>
          </cell>
          <cell r="M1569" t="str">
            <v>יח'</v>
          </cell>
          <cell r="N1569">
            <v>462</v>
          </cell>
        </row>
        <row r="1570">
          <cell r="B1570" t="str">
            <v>KNC 0632JT / MS51830CA103</v>
          </cell>
          <cell r="C1570">
            <v>31730</v>
          </cell>
          <cell r="D1570">
            <v>1</v>
          </cell>
          <cell r="E1570" t="str">
            <v>קשיח</v>
          </cell>
          <cell r="F1570" t="str">
            <v>01.0574</v>
          </cell>
          <cell r="G1570">
            <v>44724</v>
          </cell>
          <cell r="H1570" t="str">
            <v>01.0574</v>
          </cell>
          <cell r="I1570" t="str">
            <v>גין מהנדסים בע"מ</v>
          </cell>
          <cell r="J1570">
            <v>33</v>
          </cell>
          <cell r="K1570" t="str">
            <v>₪</v>
          </cell>
          <cell r="L1570">
            <v>90</v>
          </cell>
          <cell r="M1570" t="str">
            <v>יח'</v>
          </cell>
          <cell r="N1570">
            <v>2970</v>
          </cell>
        </row>
        <row r="1571">
          <cell r="B1571" t="str">
            <v>MS21209CO620P</v>
          </cell>
          <cell r="C1571">
            <v>31955</v>
          </cell>
          <cell r="D1571">
            <v>1</v>
          </cell>
          <cell r="E1571" t="str">
            <v>קשיח</v>
          </cell>
          <cell r="F1571" t="str">
            <v>01.0576</v>
          </cell>
          <cell r="G1571">
            <v>44755</v>
          </cell>
          <cell r="H1571" t="str">
            <v>01.0576</v>
          </cell>
          <cell r="I1571" t="str">
            <v>לוונשטיין טכנולוגיות בע"מ</v>
          </cell>
          <cell r="J1571">
            <v>1.2</v>
          </cell>
          <cell r="K1571" t="str">
            <v>₪</v>
          </cell>
          <cell r="L1571">
            <v>500</v>
          </cell>
          <cell r="M1571" t="str">
            <v>יח'</v>
          </cell>
          <cell r="N1571">
            <v>600</v>
          </cell>
        </row>
        <row r="1572">
          <cell r="B1572" t="str">
            <v>MS21209CO620P</v>
          </cell>
          <cell r="C1572">
            <v>31887</v>
          </cell>
          <cell r="D1572">
            <v>2</v>
          </cell>
          <cell r="E1572" t="str">
            <v>קשיח</v>
          </cell>
          <cell r="F1572" t="str">
            <v>01.0576</v>
          </cell>
          <cell r="G1572">
            <v>44746</v>
          </cell>
          <cell r="H1572" t="str">
            <v>01.0576</v>
          </cell>
          <cell r="I1572" t="str">
            <v>לוונשטיין טכנולוגיות בע"מ</v>
          </cell>
          <cell r="J1572">
            <v>1.2</v>
          </cell>
          <cell r="K1572" t="str">
            <v>₪</v>
          </cell>
          <cell r="L1572">
            <v>400</v>
          </cell>
          <cell r="M1572" t="str">
            <v>יח'</v>
          </cell>
          <cell r="N1572">
            <v>480</v>
          </cell>
        </row>
        <row r="1573">
          <cell r="B1573" t="str">
            <v>MS124775</v>
          </cell>
          <cell r="C1573">
            <v>31892</v>
          </cell>
          <cell r="D1573">
            <v>1</v>
          </cell>
          <cell r="E1573" t="str">
            <v>קשיח</v>
          </cell>
          <cell r="F1573" t="str">
            <v>01.0577</v>
          </cell>
          <cell r="G1573">
            <v>44755</v>
          </cell>
          <cell r="H1573" t="str">
            <v>01.0577</v>
          </cell>
          <cell r="I1573" t="str">
            <v>גין מהנדסים בע"מ</v>
          </cell>
          <cell r="J1573">
            <v>5</v>
          </cell>
          <cell r="K1573" t="str">
            <v>₪</v>
          </cell>
          <cell r="L1573">
            <v>200</v>
          </cell>
          <cell r="M1573" t="str">
            <v>יח'</v>
          </cell>
          <cell r="N1573">
            <v>1000</v>
          </cell>
        </row>
        <row r="1574">
          <cell r="B1574" t="str">
            <v>M6*60 SOKET HEAD CAP SCREW TIE ROD</v>
          </cell>
          <cell r="C1574">
            <v>31953</v>
          </cell>
          <cell r="D1574">
            <v>1</v>
          </cell>
          <cell r="E1574" t="str">
            <v>קשיח</v>
          </cell>
          <cell r="F1574" t="str">
            <v>01.0578</v>
          </cell>
          <cell r="G1574">
            <v>44754</v>
          </cell>
          <cell r="H1574" t="str">
            <v>01.0578</v>
          </cell>
          <cell r="I1574" t="str">
            <v>לוונשטיין טכנולוגיות בע"מ</v>
          </cell>
          <cell r="J1574">
            <v>2.5</v>
          </cell>
          <cell r="K1574" t="str">
            <v>₪</v>
          </cell>
          <cell r="L1574">
            <v>25</v>
          </cell>
          <cell r="M1574" t="str">
            <v>יח'</v>
          </cell>
          <cell r="N1574">
            <v>62.5</v>
          </cell>
        </row>
        <row r="1575">
          <cell r="B1575" t="str">
            <v>SOCKET HEAD CAP SCREWS SCH-NF1/4X2-12.9</v>
          </cell>
          <cell r="C1575">
            <v>32051</v>
          </cell>
          <cell r="D1575">
            <v>1</v>
          </cell>
          <cell r="E1575" t="str">
            <v>קשיח</v>
          </cell>
          <cell r="F1575" t="str">
            <v>01.0579</v>
          </cell>
          <cell r="G1575">
            <v>44768</v>
          </cell>
          <cell r="H1575" t="str">
            <v>01.0579</v>
          </cell>
          <cell r="I1575" t="str">
            <v>לוונשטיין טכנולוגיות בע"מ</v>
          </cell>
          <cell r="J1575">
            <v>3.4</v>
          </cell>
          <cell r="K1575" t="str">
            <v>₪</v>
          </cell>
          <cell r="L1575">
            <v>25</v>
          </cell>
          <cell r="M1575" t="str">
            <v>יח'</v>
          </cell>
          <cell r="N1575">
            <v>85</v>
          </cell>
        </row>
        <row r="1576">
          <cell r="B1576" t="str">
            <v>4184-6CNY090</v>
          </cell>
          <cell r="C1576">
            <v>40146</v>
          </cell>
          <cell r="D1576">
            <v>1</v>
          </cell>
          <cell r="E1576" t="str">
            <v>קשיח</v>
          </cell>
          <cell r="F1576" t="str">
            <v>01.0580</v>
          </cell>
          <cell r="G1576">
            <v>45728</v>
          </cell>
          <cell r="H1576" t="str">
            <v>01.0580</v>
          </cell>
          <cell r="I1576" t="str">
            <v>גין מהנדסים בע"מ</v>
          </cell>
          <cell r="J1576">
            <v>1.2</v>
          </cell>
          <cell r="K1576" t="str">
            <v>₪</v>
          </cell>
          <cell r="L1576">
            <v>200</v>
          </cell>
          <cell r="M1576" t="str">
            <v>יח'</v>
          </cell>
          <cell r="N1576">
            <v>240</v>
          </cell>
        </row>
        <row r="1577">
          <cell r="B1577" t="str">
            <v>4184-6CNY090</v>
          </cell>
          <cell r="C1577">
            <v>37862</v>
          </cell>
          <cell r="D1577">
            <v>1</v>
          </cell>
          <cell r="E1577" t="str">
            <v>קשיח</v>
          </cell>
          <cell r="F1577" t="str">
            <v>01.0580</v>
          </cell>
          <cell r="G1577">
            <v>45501</v>
          </cell>
          <cell r="H1577" t="str">
            <v>01.0580</v>
          </cell>
          <cell r="I1577" t="str">
            <v>גין מהנדסים בע"מ</v>
          </cell>
          <cell r="J1577">
            <v>1.2</v>
          </cell>
          <cell r="K1577" t="str">
            <v>₪</v>
          </cell>
          <cell r="L1577">
            <v>2500</v>
          </cell>
          <cell r="M1577" t="str">
            <v>יח'</v>
          </cell>
          <cell r="N1577">
            <v>3000</v>
          </cell>
        </row>
        <row r="1578">
          <cell r="B1578" t="str">
            <v>4184-6CNY090</v>
          </cell>
          <cell r="C1578">
            <v>37720</v>
          </cell>
          <cell r="D1578">
            <v>1</v>
          </cell>
          <cell r="E1578" t="str">
            <v>קשיח</v>
          </cell>
          <cell r="F1578" t="str">
            <v>01.0580</v>
          </cell>
          <cell r="G1578">
            <v>45484</v>
          </cell>
          <cell r="H1578" t="str">
            <v>01.0580</v>
          </cell>
          <cell r="I1578" t="str">
            <v>גין מהנדסים בע"מ</v>
          </cell>
          <cell r="J1578">
            <v>1.2</v>
          </cell>
          <cell r="K1578" t="str">
            <v>₪</v>
          </cell>
          <cell r="L1578">
            <v>2000</v>
          </cell>
          <cell r="M1578" t="str">
            <v>יח'</v>
          </cell>
          <cell r="N1578">
            <v>2400</v>
          </cell>
        </row>
        <row r="1579">
          <cell r="B1579" t="str">
            <v>4184-6CNY090</v>
          </cell>
          <cell r="C1579">
            <v>35261</v>
          </cell>
          <cell r="D1579">
            <v>1</v>
          </cell>
          <cell r="E1579" t="str">
            <v>קשיח</v>
          </cell>
          <cell r="F1579" t="str">
            <v>01.0580</v>
          </cell>
          <cell r="G1579">
            <v>45204</v>
          </cell>
          <cell r="H1579" t="str">
            <v>01.0580</v>
          </cell>
          <cell r="I1579" t="str">
            <v>גין מהנדסים בע"מ</v>
          </cell>
          <cell r="J1579">
            <v>2.6</v>
          </cell>
          <cell r="K1579" t="str">
            <v>₪</v>
          </cell>
          <cell r="L1579">
            <v>1000</v>
          </cell>
          <cell r="M1579" t="str">
            <v>יח'</v>
          </cell>
          <cell r="N1579">
            <v>2600</v>
          </cell>
        </row>
        <row r="1580">
          <cell r="B1580" t="str">
            <v>4184-6CNY090</v>
          </cell>
          <cell r="C1580">
            <v>34747</v>
          </cell>
          <cell r="D1580">
            <v>1</v>
          </cell>
          <cell r="E1580" t="str">
            <v>קשיח</v>
          </cell>
          <cell r="F1580" t="str">
            <v>01.0580</v>
          </cell>
          <cell r="G1580">
            <v>45144</v>
          </cell>
          <cell r="H1580" t="str">
            <v>01.0580</v>
          </cell>
          <cell r="I1580" t="str">
            <v>גין מהנדסים בע"מ</v>
          </cell>
          <cell r="J1580">
            <v>2.6</v>
          </cell>
          <cell r="K1580" t="str">
            <v>₪</v>
          </cell>
          <cell r="L1580">
            <v>1000</v>
          </cell>
          <cell r="M1580" t="str">
            <v>יח'</v>
          </cell>
          <cell r="N1580">
            <v>2600</v>
          </cell>
        </row>
        <row r="1581">
          <cell r="B1581" t="str">
            <v>4184-6CNY090</v>
          </cell>
          <cell r="C1581">
            <v>33738</v>
          </cell>
          <cell r="D1581">
            <v>1</v>
          </cell>
          <cell r="E1581" t="str">
            <v>קשיח</v>
          </cell>
          <cell r="F1581" t="str">
            <v>01.0580</v>
          </cell>
          <cell r="G1581">
            <v>45033</v>
          </cell>
          <cell r="H1581" t="str">
            <v>01.0580</v>
          </cell>
          <cell r="I1581" t="str">
            <v>גין מהנדסים בע"מ</v>
          </cell>
          <cell r="J1581">
            <v>4</v>
          </cell>
          <cell r="K1581" t="str">
            <v>₪</v>
          </cell>
          <cell r="L1581">
            <v>400</v>
          </cell>
          <cell r="M1581" t="str">
            <v>יח'</v>
          </cell>
          <cell r="N1581">
            <v>1600</v>
          </cell>
        </row>
        <row r="1582">
          <cell r="B1582" t="str">
            <v>4184-6CNY090</v>
          </cell>
          <cell r="C1582">
            <v>32944</v>
          </cell>
          <cell r="D1582">
            <v>1</v>
          </cell>
          <cell r="E1582" t="str">
            <v>קשיח</v>
          </cell>
          <cell r="F1582" t="str">
            <v>01.0580</v>
          </cell>
          <cell r="G1582">
            <v>44901</v>
          </cell>
          <cell r="H1582" t="str">
            <v>01.0580</v>
          </cell>
          <cell r="I1582" t="str">
            <v>גין מהנדסים בע"מ</v>
          </cell>
          <cell r="J1582">
            <v>4</v>
          </cell>
          <cell r="K1582" t="str">
            <v>₪</v>
          </cell>
          <cell r="L1582">
            <v>150</v>
          </cell>
          <cell r="M1582" t="str">
            <v>יח'</v>
          </cell>
          <cell r="N1582">
            <v>600</v>
          </cell>
        </row>
        <row r="1583">
          <cell r="B1583" t="str">
            <v>4184-6CNY090</v>
          </cell>
          <cell r="C1583">
            <v>32291</v>
          </cell>
          <cell r="D1583">
            <v>1</v>
          </cell>
          <cell r="E1583" t="str">
            <v>קשיח</v>
          </cell>
          <cell r="F1583" t="str">
            <v>01.0580</v>
          </cell>
          <cell r="G1583">
            <v>44801</v>
          </cell>
          <cell r="H1583" t="str">
            <v>01.0580</v>
          </cell>
          <cell r="I1583" t="str">
            <v>גין מהנדסים בע"מ</v>
          </cell>
          <cell r="J1583">
            <v>4</v>
          </cell>
          <cell r="K1583" t="str">
            <v>₪</v>
          </cell>
          <cell r="L1583">
            <v>320</v>
          </cell>
          <cell r="M1583" t="str">
            <v>יח'</v>
          </cell>
          <cell r="N1583">
            <v>1280</v>
          </cell>
        </row>
        <row r="1584">
          <cell r="B1584" t="str">
            <v>4184-6CNY090</v>
          </cell>
          <cell r="C1584">
            <v>32112</v>
          </cell>
          <cell r="D1584">
            <v>1</v>
          </cell>
          <cell r="E1584" t="str">
            <v>קשיח</v>
          </cell>
          <cell r="F1584" t="str">
            <v>01.0580</v>
          </cell>
          <cell r="G1584">
            <v>44776</v>
          </cell>
          <cell r="H1584" t="str">
            <v>01.0580</v>
          </cell>
          <cell r="I1584" t="str">
            <v>גין מהנדסים בע"מ</v>
          </cell>
          <cell r="J1584">
            <v>4</v>
          </cell>
          <cell r="K1584" t="str">
            <v>₪</v>
          </cell>
          <cell r="L1584">
            <v>320</v>
          </cell>
          <cell r="M1584" t="str">
            <v>יח'</v>
          </cell>
          <cell r="N1584">
            <v>1280</v>
          </cell>
        </row>
        <row r="1585">
          <cell r="B1585" t="str">
            <v>LOCTITE 241 OR 242</v>
          </cell>
          <cell r="C1585">
            <v>32113</v>
          </cell>
          <cell r="D1585">
            <v>1</v>
          </cell>
          <cell r="E1585" t="str">
            <v>קשיח</v>
          </cell>
          <cell r="F1585" t="str">
            <v>01.0584</v>
          </cell>
          <cell r="G1585">
            <v>44776</v>
          </cell>
          <cell r="H1585" t="str">
            <v>01.0584</v>
          </cell>
          <cell r="I1585" t="str">
            <v>מאור גבריאלי הספקה ט</v>
          </cell>
          <cell r="J1585">
            <v>180</v>
          </cell>
          <cell r="K1585" t="str">
            <v>₪</v>
          </cell>
          <cell r="L1585">
            <v>1</v>
          </cell>
          <cell r="M1585" t="str">
            <v>יח'</v>
          </cell>
          <cell r="N1585">
            <v>180</v>
          </cell>
        </row>
        <row r="1586">
          <cell r="B1586" t="str">
            <v>שובר לשונית M4</v>
          </cell>
          <cell r="C1586">
            <v>39749</v>
          </cell>
          <cell r="D1586">
            <v>14</v>
          </cell>
          <cell r="E1586" t="str">
            <v>קשיח</v>
          </cell>
          <cell r="F1586" t="str">
            <v>01.0586</v>
          </cell>
          <cell r="G1586">
            <v>45697</v>
          </cell>
          <cell r="H1586" t="str">
            <v>01.0586</v>
          </cell>
          <cell r="I1586" t="str">
            <v>לוונשטיין טכנולוגיות בע"מ</v>
          </cell>
          <cell r="J1586">
            <v>161.69999999999999</v>
          </cell>
          <cell r="K1586" t="str">
            <v>₪</v>
          </cell>
          <cell r="L1586">
            <v>2</v>
          </cell>
          <cell r="M1586" t="str">
            <v>יח'</v>
          </cell>
          <cell r="N1586">
            <v>323.39999999999998</v>
          </cell>
        </row>
        <row r="1587">
          <cell r="B1587" t="str">
            <v>שובר לשונית M4</v>
          </cell>
          <cell r="C1587">
            <v>32627</v>
          </cell>
          <cell r="D1587">
            <v>6</v>
          </cell>
          <cell r="E1587" t="str">
            <v>קשיח</v>
          </cell>
          <cell r="F1587" t="str">
            <v>01.0586</v>
          </cell>
          <cell r="G1587">
            <v>44858</v>
          </cell>
          <cell r="H1587" t="str">
            <v>01.0586</v>
          </cell>
          <cell r="I1587" t="str">
            <v>דר טכנולוגיות בע"מ</v>
          </cell>
          <cell r="J1587">
            <v>250</v>
          </cell>
          <cell r="K1587" t="str">
            <v>₪</v>
          </cell>
          <cell r="L1587">
            <v>2</v>
          </cell>
          <cell r="M1587" t="str">
            <v>יח'</v>
          </cell>
          <cell r="N1587">
            <v>500</v>
          </cell>
        </row>
        <row r="1588">
          <cell r="B1588" t="str">
            <v>kit for riv938/912 -m3</v>
          </cell>
          <cell r="C1588">
            <v>32706</v>
          </cell>
          <cell r="D1588">
            <v>1</v>
          </cell>
          <cell r="E1588" t="str">
            <v>קשיח</v>
          </cell>
          <cell r="F1588" t="str">
            <v>01.0588</v>
          </cell>
          <cell r="G1588">
            <v>44868</v>
          </cell>
          <cell r="H1588" t="str">
            <v>01.0588</v>
          </cell>
          <cell r="I1588" t="str">
            <v>לוונשטיין טכנולוגיות בע"מ</v>
          </cell>
          <cell r="J1588">
            <v>210</v>
          </cell>
          <cell r="K1588" t="str">
            <v>₪</v>
          </cell>
          <cell r="L1588">
            <v>1</v>
          </cell>
          <cell r="M1588" t="str">
            <v>יח'</v>
          </cell>
          <cell r="N1588">
            <v>210</v>
          </cell>
        </row>
        <row r="1589">
          <cell r="B1589" t="str">
            <v>kit for riv938/912 -M4</v>
          </cell>
          <cell r="C1589">
            <v>32706</v>
          </cell>
          <cell r="D1589">
            <v>2</v>
          </cell>
          <cell r="E1589" t="str">
            <v>קשיח</v>
          </cell>
          <cell r="F1589" t="str">
            <v>01.0589</v>
          </cell>
          <cell r="G1589">
            <v>44868</v>
          </cell>
          <cell r="H1589" t="str">
            <v>01.0589</v>
          </cell>
          <cell r="I1589" t="str">
            <v>לוונשטיין טכנולוגיות בע"מ</v>
          </cell>
          <cell r="J1589">
            <v>210</v>
          </cell>
          <cell r="K1589" t="str">
            <v>₪</v>
          </cell>
          <cell r="L1589">
            <v>1</v>
          </cell>
          <cell r="M1589" t="str">
            <v>יח'</v>
          </cell>
          <cell r="N1589">
            <v>210</v>
          </cell>
        </row>
        <row r="1590">
          <cell r="B1590" t="str">
            <v>kit for riv938/912 -M5</v>
          </cell>
          <cell r="C1590">
            <v>32706</v>
          </cell>
          <cell r="D1590">
            <v>3</v>
          </cell>
          <cell r="E1590" t="str">
            <v>קשיח</v>
          </cell>
          <cell r="F1590" t="str">
            <v>01.0590</v>
          </cell>
          <cell r="G1590">
            <v>44868</v>
          </cell>
          <cell r="H1590" t="str">
            <v>01.0590</v>
          </cell>
          <cell r="I1590" t="str">
            <v>לוונשטיין טכנולוגיות בע"מ</v>
          </cell>
          <cell r="J1590">
            <v>210</v>
          </cell>
          <cell r="K1590" t="str">
            <v>₪</v>
          </cell>
          <cell r="L1590">
            <v>1</v>
          </cell>
          <cell r="M1590" t="str">
            <v>יח'</v>
          </cell>
          <cell r="N1590">
            <v>210</v>
          </cell>
        </row>
        <row r="1591">
          <cell r="B1591" t="str">
            <v>kit for riv938/912 -M6</v>
          </cell>
          <cell r="C1591">
            <v>32706</v>
          </cell>
          <cell r="D1591">
            <v>4</v>
          </cell>
          <cell r="E1591" t="str">
            <v>קשיח</v>
          </cell>
          <cell r="F1591" t="str">
            <v>01.0591</v>
          </cell>
          <cell r="G1591">
            <v>44868</v>
          </cell>
          <cell r="H1591" t="str">
            <v>01.0591</v>
          </cell>
          <cell r="I1591" t="str">
            <v>לוונשטיין טכנולוגיות בע"מ</v>
          </cell>
          <cell r="J1591">
            <v>210</v>
          </cell>
          <cell r="K1591" t="str">
            <v>₪</v>
          </cell>
          <cell r="L1591">
            <v>1</v>
          </cell>
          <cell r="M1591" t="str">
            <v>יח'</v>
          </cell>
          <cell r="N1591">
            <v>210</v>
          </cell>
        </row>
        <row r="1592">
          <cell r="B1592" t="str">
            <v>kit for riv938/912 -M8</v>
          </cell>
          <cell r="C1592">
            <v>32706</v>
          </cell>
          <cell r="D1592">
            <v>5</v>
          </cell>
          <cell r="E1592" t="str">
            <v>קשיח</v>
          </cell>
          <cell r="F1592" t="str">
            <v>01.0592</v>
          </cell>
          <cell r="G1592">
            <v>44868</v>
          </cell>
          <cell r="H1592" t="str">
            <v>01.0592</v>
          </cell>
          <cell r="I1592" t="str">
            <v>לוונשטיין טכנולוגיות בע"מ</v>
          </cell>
          <cell r="J1592">
            <v>210</v>
          </cell>
          <cell r="K1592" t="str">
            <v>₪</v>
          </cell>
          <cell r="L1592">
            <v>1</v>
          </cell>
          <cell r="M1592" t="str">
            <v>יח'</v>
          </cell>
          <cell r="N1592">
            <v>210</v>
          </cell>
        </row>
        <row r="1593">
          <cell r="B1593" t="str">
            <v>Socket head cap screw 12.9 UNI5931/DIN912 M3x40</v>
          </cell>
          <cell r="C1593">
            <v>32755</v>
          </cell>
          <cell r="D1593">
            <v>1</v>
          </cell>
          <cell r="E1593" t="str">
            <v>קשיח</v>
          </cell>
          <cell r="F1593" t="str">
            <v>01.0594</v>
          </cell>
          <cell r="G1593">
            <v>44875</v>
          </cell>
          <cell r="H1593" t="str">
            <v>01.0594</v>
          </cell>
          <cell r="I1593" t="str">
            <v>לוונשטיין טכנולוגיות בע"מ</v>
          </cell>
          <cell r="J1593">
            <v>14.5</v>
          </cell>
          <cell r="K1593" t="str">
            <v>₪</v>
          </cell>
          <cell r="L1593">
            <v>10</v>
          </cell>
          <cell r="M1593" t="str">
            <v>יח'</v>
          </cell>
          <cell r="N1593">
            <v>145</v>
          </cell>
        </row>
        <row r="1594">
          <cell r="B1594" t="str">
            <v>Socket head cap screw 12.9 UNI 5931/DIN912 M4x55</v>
          </cell>
          <cell r="C1594">
            <v>32755</v>
          </cell>
          <cell r="D1594">
            <v>2</v>
          </cell>
          <cell r="E1594" t="str">
            <v>קשיח</v>
          </cell>
          <cell r="F1594" t="str">
            <v>01.0595</v>
          </cell>
          <cell r="G1594">
            <v>44875</v>
          </cell>
          <cell r="H1594" t="str">
            <v>01.0595</v>
          </cell>
          <cell r="I1594" t="str">
            <v>לוונשטיין טכנולוגיות בע"מ</v>
          </cell>
          <cell r="J1594">
            <v>14.5</v>
          </cell>
          <cell r="K1594" t="str">
            <v>₪</v>
          </cell>
          <cell r="L1594">
            <v>10</v>
          </cell>
          <cell r="M1594" t="str">
            <v>יח'</v>
          </cell>
          <cell r="N1594">
            <v>145</v>
          </cell>
        </row>
        <row r="1595">
          <cell r="B1595" t="str">
            <v>Socket head cap screw 12.9 UNI 5931/DIN912 M5x55</v>
          </cell>
          <cell r="C1595">
            <v>32755</v>
          </cell>
          <cell r="D1595">
            <v>3</v>
          </cell>
          <cell r="E1595" t="str">
            <v>קשיח</v>
          </cell>
          <cell r="F1595" t="str">
            <v>01.0596</v>
          </cell>
          <cell r="G1595">
            <v>44875</v>
          </cell>
          <cell r="H1595" t="str">
            <v>01.0596</v>
          </cell>
          <cell r="I1595" t="str">
            <v>לוונשטיין טכנולוגיות בע"מ</v>
          </cell>
          <cell r="J1595">
            <v>14.5</v>
          </cell>
          <cell r="K1595" t="str">
            <v>₪</v>
          </cell>
          <cell r="L1595">
            <v>10</v>
          </cell>
          <cell r="M1595" t="str">
            <v>יח'</v>
          </cell>
          <cell r="N1595">
            <v>145</v>
          </cell>
        </row>
        <row r="1596">
          <cell r="B1596" t="str">
            <v>Socket head cap screw 12.9 UNI 5931/DIN 912 M6x55</v>
          </cell>
          <cell r="C1596">
            <v>32755</v>
          </cell>
          <cell r="D1596">
            <v>4</v>
          </cell>
          <cell r="E1596" t="str">
            <v>קשיח</v>
          </cell>
          <cell r="F1596" t="str">
            <v>01.0597</v>
          </cell>
          <cell r="G1596">
            <v>44875</v>
          </cell>
          <cell r="H1596" t="str">
            <v>01.0597</v>
          </cell>
          <cell r="I1596" t="str">
            <v>לוונשטיין טכנולוגיות בע"מ</v>
          </cell>
          <cell r="J1596">
            <v>14.5</v>
          </cell>
          <cell r="K1596" t="str">
            <v>₪</v>
          </cell>
          <cell r="L1596">
            <v>10</v>
          </cell>
          <cell r="M1596" t="str">
            <v>יח'</v>
          </cell>
          <cell r="N1596">
            <v>145</v>
          </cell>
        </row>
        <row r="1597">
          <cell r="B1597" t="str">
            <v>Socket head cap screw 12.9 UNI 5931/DIN 912 M8x60</v>
          </cell>
          <cell r="C1597">
            <v>32755</v>
          </cell>
          <cell r="D1597">
            <v>5</v>
          </cell>
          <cell r="E1597" t="str">
            <v>קשיח</v>
          </cell>
          <cell r="F1597" t="str">
            <v>01.0598</v>
          </cell>
          <cell r="G1597">
            <v>44875</v>
          </cell>
          <cell r="H1597" t="str">
            <v>01.0598</v>
          </cell>
          <cell r="I1597" t="str">
            <v>לוונשטיין טכנולוגיות בע"מ</v>
          </cell>
          <cell r="J1597">
            <v>14.5</v>
          </cell>
          <cell r="K1597" t="str">
            <v>₪</v>
          </cell>
          <cell r="L1597">
            <v>10</v>
          </cell>
          <cell r="M1597" t="str">
            <v>יח'</v>
          </cell>
          <cell r="N1597">
            <v>145</v>
          </cell>
        </row>
        <row r="1598">
          <cell r="B1598" t="str">
            <v>MS21209F4-10</v>
          </cell>
          <cell r="C1598">
            <v>38943</v>
          </cell>
          <cell r="D1598">
            <v>2</v>
          </cell>
          <cell r="E1598" t="str">
            <v>קשיח</v>
          </cell>
          <cell r="F1598" t="str">
            <v>01.0600</v>
          </cell>
          <cell r="G1598">
            <v>45622</v>
          </cell>
          <cell r="H1598" t="str">
            <v>01.0600</v>
          </cell>
          <cell r="I1598" t="str">
            <v>לוונשטיין טכנולוגיות בע"מ</v>
          </cell>
          <cell r="J1598">
            <v>0.75</v>
          </cell>
          <cell r="K1598" t="str">
            <v>₪</v>
          </cell>
          <cell r="L1598">
            <v>500</v>
          </cell>
          <cell r="M1598" t="str">
            <v>יח'</v>
          </cell>
          <cell r="N1598">
            <v>375</v>
          </cell>
        </row>
        <row r="1599">
          <cell r="B1599" t="str">
            <v>MS21209F4-10</v>
          </cell>
          <cell r="C1599">
            <v>36962</v>
          </cell>
          <cell r="D1599">
            <v>1</v>
          </cell>
          <cell r="E1599" t="str">
            <v>קשיח</v>
          </cell>
          <cell r="F1599" t="str">
            <v>01.0600</v>
          </cell>
          <cell r="G1599">
            <v>45400</v>
          </cell>
          <cell r="H1599" t="str">
            <v>01.0600</v>
          </cell>
          <cell r="I1599" t="str">
            <v>לוונשטיין טכנולוגיות בע"מ</v>
          </cell>
          <cell r="J1599">
            <v>0.75</v>
          </cell>
          <cell r="K1599" t="str">
            <v>₪</v>
          </cell>
          <cell r="L1599">
            <v>1000</v>
          </cell>
          <cell r="M1599" t="str">
            <v>יח'</v>
          </cell>
          <cell r="N1599">
            <v>750</v>
          </cell>
        </row>
        <row r="1600">
          <cell r="B1600" t="str">
            <v>MS21209F4-10</v>
          </cell>
          <cell r="C1600">
            <v>33587</v>
          </cell>
          <cell r="D1600">
            <v>2</v>
          </cell>
          <cell r="E1600" t="str">
            <v>קשיח</v>
          </cell>
          <cell r="F1600" t="str">
            <v>01.0600</v>
          </cell>
          <cell r="G1600">
            <v>45005</v>
          </cell>
          <cell r="H1600" t="str">
            <v>01.0600</v>
          </cell>
          <cell r="I1600" t="str">
            <v>לוונשטיין טכנולוגיות בע"מ</v>
          </cell>
          <cell r="J1600">
            <v>0.7</v>
          </cell>
          <cell r="K1600" t="str">
            <v>₪</v>
          </cell>
          <cell r="L1600">
            <v>1000</v>
          </cell>
          <cell r="M1600" t="str">
            <v>יח'</v>
          </cell>
          <cell r="N1600">
            <v>700</v>
          </cell>
        </row>
        <row r="1601">
          <cell r="B1601" t="str">
            <v>MS21209C0410</v>
          </cell>
          <cell r="C1601">
            <v>33736</v>
          </cell>
          <cell r="D1601">
            <v>1</v>
          </cell>
          <cell r="E1601" t="str">
            <v>קשיח</v>
          </cell>
          <cell r="F1601" t="str">
            <v>01.0601</v>
          </cell>
          <cell r="G1601">
            <v>45033</v>
          </cell>
          <cell r="H1601" t="str">
            <v>01.0601</v>
          </cell>
          <cell r="I1601" t="str">
            <v>לוונשטיין טכנולוגיות בע"מ</v>
          </cell>
          <cell r="J1601">
            <v>0.52</v>
          </cell>
          <cell r="K1601" t="str">
            <v>₪</v>
          </cell>
          <cell r="L1601">
            <v>10000</v>
          </cell>
          <cell r="M1601" t="str">
            <v>יח'</v>
          </cell>
          <cell r="N1601">
            <v>5200</v>
          </cell>
        </row>
        <row r="1602">
          <cell r="B1602" t="str">
            <v>MS21209C0215</v>
          </cell>
          <cell r="C1602">
            <v>37873</v>
          </cell>
          <cell r="D1602">
            <v>1</v>
          </cell>
          <cell r="E1602" t="str">
            <v>קשיח</v>
          </cell>
          <cell r="F1602" t="str">
            <v>01.0602</v>
          </cell>
          <cell r="G1602">
            <v>45502</v>
          </cell>
          <cell r="H1602" t="str">
            <v>01.0602</v>
          </cell>
          <cell r="I1602" t="str">
            <v>לוונשטיין טכנולוגיות בע"מ</v>
          </cell>
          <cell r="J1602">
            <v>0.72</v>
          </cell>
          <cell r="K1602" t="str">
            <v>₪</v>
          </cell>
          <cell r="L1602">
            <v>2000</v>
          </cell>
          <cell r="M1602" t="str">
            <v>יח'</v>
          </cell>
          <cell r="N1602">
            <v>1440</v>
          </cell>
        </row>
        <row r="1603">
          <cell r="B1603" t="str">
            <v>MS21209C0215</v>
          </cell>
          <cell r="C1603">
            <v>33736</v>
          </cell>
          <cell r="D1603">
            <v>2</v>
          </cell>
          <cell r="E1603" t="str">
            <v>קשיח</v>
          </cell>
          <cell r="F1603" t="str">
            <v>01.0602</v>
          </cell>
          <cell r="G1603">
            <v>45033</v>
          </cell>
          <cell r="H1603" t="str">
            <v>01.0602</v>
          </cell>
          <cell r="I1603" t="str">
            <v>לוונשטיין טכנולוגיות בע"מ</v>
          </cell>
          <cell r="J1603">
            <v>0.72</v>
          </cell>
          <cell r="K1603" t="str">
            <v>₪</v>
          </cell>
          <cell r="L1603">
            <v>2000</v>
          </cell>
          <cell r="M1603" t="str">
            <v>יח'</v>
          </cell>
          <cell r="N1603">
            <v>1440</v>
          </cell>
        </row>
        <row r="1604">
          <cell r="B1604" t="str">
            <v>MS16555-602 PIN</v>
          </cell>
          <cell r="C1604">
            <v>40511</v>
          </cell>
          <cell r="D1604">
            <v>1</v>
          </cell>
          <cell r="E1604" t="str">
            <v>קשיח</v>
          </cell>
          <cell r="F1604" t="str">
            <v>01.0603</v>
          </cell>
          <cell r="G1604">
            <v>45761</v>
          </cell>
          <cell r="H1604" t="str">
            <v>01.0603</v>
          </cell>
          <cell r="I1604" t="str">
            <v>ברמיל בע"מ</v>
          </cell>
          <cell r="J1604">
            <v>2.1920000000000002</v>
          </cell>
          <cell r="K1604" t="str">
            <v>₪</v>
          </cell>
          <cell r="L1604">
            <v>130</v>
          </cell>
          <cell r="M1604" t="str">
            <v>יח'</v>
          </cell>
          <cell r="N1604">
            <v>284.96000000000004</v>
          </cell>
        </row>
        <row r="1605">
          <cell r="B1605" t="str">
            <v>MS16555-602 PIN</v>
          </cell>
          <cell r="C1605">
            <v>40067</v>
          </cell>
          <cell r="D1605">
            <v>1</v>
          </cell>
          <cell r="E1605" t="str">
            <v>קשיח</v>
          </cell>
          <cell r="F1605" t="str">
            <v>01.0603</v>
          </cell>
          <cell r="G1605">
            <v>45721</v>
          </cell>
          <cell r="H1605" t="str">
            <v>01.0603</v>
          </cell>
          <cell r="I1605" t="str">
            <v>גין מהנדסים בע"מ</v>
          </cell>
          <cell r="J1605">
            <v>2.39</v>
          </cell>
          <cell r="K1605" t="str">
            <v>₪</v>
          </cell>
          <cell r="L1605">
            <v>150</v>
          </cell>
          <cell r="M1605" t="str">
            <v>יח'</v>
          </cell>
          <cell r="N1605">
            <v>358.5</v>
          </cell>
        </row>
        <row r="1606">
          <cell r="B1606" t="str">
            <v>MS16555-602 PIN</v>
          </cell>
          <cell r="C1606">
            <v>39964</v>
          </cell>
          <cell r="D1606">
            <v>1</v>
          </cell>
          <cell r="E1606" t="str">
            <v>קשיח</v>
          </cell>
          <cell r="F1606" t="str">
            <v>01.0603</v>
          </cell>
          <cell r="G1606">
            <v>45714</v>
          </cell>
          <cell r="H1606" t="str">
            <v>01.0603</v>
          </cell>
          <cell r="I1606" t="str">
            <v>גין מהנדסים בע"מ</v>
          </cell>
          <cell r="J1606">
            <v>2.39</v>
          </cell>
          <cell r="K1606" t="str">
            <v>₪</v>
          </cell>
          <cell r="L1606">
            <v>200</v>
          </cell>
          <cell r="M1606" t="str">
            <v>יח'</v>
          </cell>
          <cell r="N1606">
            <v>478</v>
          </cell>
        </row>
        <row r="1607">
          <cell r="B1607" t="str">
            <v>MS16555-602 PIN</v>
          </cell>
          <cell r="C1607">
            <v>39458</v>
          </cell>
          <cell r="D1607">
            <v>1</v>
          </cell>
          <cell r="E1607" t="str">
            <v>קשיח</v>
          </cell>
          <cell r="F1607" t="str">
            <v>01.0603</v>
          </cell>
          <cell r="G1607">
            <v>45669</v>
          </cell>
          <cell r="H1607" t="str">
            <v>01.0603</v>
          </cell>
          <cell r="I1607" t="str">
            <v>גין מהנדסים בע"מ</v>
          </cell>
          <cell r="J1607">
            <v>2.39</v>
          </cell>
          <cell r="K1607" t="str">
            <v>₪</v>
          </cell>
          <cell r="L1607">
            <v>200</v>
          </cell>
          <cell r="M1607" t="str">
            <v>יח'</v>
          </cell>
          <cell r="N1607">
            <v>478</v>
          </cell>
        </row>
        <row r="1608">
          <cell r="B1608" t="str">
            <v>MS16555-602 PIN</v>
          </cell>
          <cell r="C1608">
            <v>39043</v>
          </cell>
          <cell r="D1608">
            <v>1</v>
          </cell>
          <cell r="E1608" t="str">
            <v>קשיח</v>
          </cell>
          <cell r="F1608" t="str">
            <v>01.0603</v>
          </cell>
          <cell r="G1608">
            <v>45630</v>
          </cell>
          <cell r="H1608" t="str">
            <v>01.0603</v>
          </cell>
          <cell r="I1608" t="str">
            <v>גין מהנדסים בע"מ</v>
          </cell>
          <cell r="J1608">
            <v>2.39</v>
          </cell>
          <cell r="K1608" t="str">
            <v>₪</v>
          </cell>
          <cell r="L1608">
            <v>100</v>
          </cell>
          <cell r="M1608" t="str">
            <v>יח'</v>
          </cell>
          <cell r="N1608">
            <v>239</v>
          </cell>
        </row>
        <row r="1609">
          <cell r="B1609" t="str">
            <v>MS16555-602 PIN</v>
          </cell>
          <cell r="C1609">
            <v>37526</v>
          </cell>
          <cell r="D1609">
            <v>1</v>
          </cell>
          <cell r="E1609" t="str">
            <v>קשיח</v>
          </cell>
          <cell r="F1609" t="str">
            <v>01.0603</v>
          </cell>
          <cell r="G1609">
            <v>45463</v>
          </cell>
          <cell r="H1609" t="str">
            <v>01.0603</v>
          </cell>
          <cell r="I1609" t="str">
            <v>גין מהנדסים בע"מ</v>
          </cell>
          <cell r="J1609">
            <v>1.7</v>
          </cell>
          <cell r="K1609" t="str">
            <v>₪</v>
          </cell>
          <cell r="L1609">
            <v>400</v>
          </cell>
          <cell r="M1609" t="str">
            <v>יח'</v>
          </cell>
          <cell r="N1609">
            <v>680</v>
          </cell>
        </row>
        <row r="1610">
          <cell r="B1610" t="str">
            <v>MS16555-602 PIN</v>
          </cell>
          <cell r="C1610">
            <v>34077</v>
          </cell>
          <cell r="D1610">
            <v>1</v>
          </cell>
          <cell r="E1610" t="str">
            <v>קשיח</v>
          </cell>
          <cell r="F1610" t="str">
            <v>01.0603</v>
          </cell>
          <cell r="G1610">
            <v>45075</v>
          </cell>
          <cell r="H1610" t="str">
            <v>01.0603</v>
          </cell>
          <cell r="I1610" t="str">
            <v>גין מהנדסים בע"מ</v>
          </cell>
          <cell r="J1610">
            <v>1.7</v>
          </cell>
          <cell r="K1610" t="str">
            <v>₪</v>
          </cell>
          <cell r="L1610">
            <v>750</v>
          </cell>
          <cell r="M1610" t="str">
            <v>יח'</v>
          </cell>
          <cell r="N1610">
            <v>1275</v>
          </cell>
        </row>
        <row r="1611">
          <cell r="B1611" t="str">
            <v>MS16555-602 PIN</v>
          </cell>
          <cell r="C1611">
            <v>33760</v>
          </cell>
          <cell r="D1611">
            <v>1</v>
          </cell>
          <cell r="E1611" t="str">
            <v>קשיח</v>
          </cell>
          <cell r="F1611" t="str">
            <v>01.0603</v>
          </cell>
          <cell r="G1611">
            <v>45035</v>
          </cell>
          <cell r="H1611" t="str">
            <v>01.0603</v>
          </cell>
          <cell r="I1611" t="str">
            <v>גין מהנדסים בע"מ</v>
          </cell>
          <cell r="J1611">
            <v>1.7</v>
          </cell>
          <cell r="K1611" t="str">
            <v>₪</v>
          </cell>
          <cell r="L1611">
            <v>600</v>
          </cell>
          <cell r="M1611" t="str">
            <v>יח'</v>
          </cell>
          <cell r="N1611">
            <v>1020</v>
          </cell>
        </row>
        <row r="1612">
          <cell r="B1612" t="str">
            <v>MS51832-108</v>
          </cell>
          <cell r="C1612">
            <v>33828</v>
          </cell>
          <cell r="D1612">
            <v>1</v>
          </cell>
          <cell r="E1612" t="str">
            <v>קשיח</v>
          </cell>
          <cell r="F1612" t="str">
            <v>01.0604</v>
          </cell>
          <cell r="G1612">
            <v>45046</v>
          </cell>
          <cell r="H1612" t="str">
            <v>01.0604</v>
          </cell>
          <cell r="I1612" t="str">
            <v>גין מהנדסים בע"מ</v>
          </cell>
          <cell r="J1612">
            <v>143.5</v>
          </cell>
          <cell r="K1612" t="str">
            <v>₪</v>
          </cell>
          <cell r="L1612">
            <v>10</v>
          </cell>
          <cell r="M1612" t="str">
            <v>יח'</v>
          </cell>
          <cell r="N1612">
            <v>1435</v>
          </cell>
        </row>
        <row r="1613">
          <cell r="B1613" t="str">
            <v>MS21209C5-15</v>
          </cell>
          <cell r="C1613">
            <v>42646</v>
          </cell>
          <cell r="D1613">
            <v>1</v>
          </cell>
          <cell r="E1613" t="str">
            <v>קשיח</v>
          </cell>
          <cell r="F1613" t="str">
            <v>01.0606</v>
          </cell>
          <cell r="G1613">
            <v>45971</v>
          </cell>
          <cell r="H1613" t="str">
            <v>01.0606</v>
          </cell>
          <cell r="I1613" t="str">
            <v>לוונשטיין טכנולוגיות בע"מ</v>
          </cell>
          <cell r="J1613">
            <v>1.7</v>
          </cell>
          <cell r="K1613" t="str">
            <v>₪</v>
          </cell>
          <cell r="L1613">
            <v>100</v>
          </cell>
          <cell r="M1613" t="str">
            <v>יח'</v>
          </cell>
          <cell r="N1613">
            <v>170</v>
          </cell>
        </row>
        <row r="1614">
          <cell r="B1614" t="str">
            <v>MS21209C5-15</v>
          </cell>
          <cell r="C1614">
            <v>34053</v>
          </cell>
          <cell r="D1614">
            <v>1</v>
          </cell>
          <cell r="E1614" t="str">
            <v>קשיח</v>
          </cell>
          <cell r="F1614" t="str">
            <v>01.0606</v>
          </cell>
          <cell r="G1614">
            <v>45074</v>
          </cell>
          <cell r="H1614" t="str">
            <v>01.0606</v>
          </cell>
          <cell r="I1614" t="str">
            <v>לוונשטיין טכנולוגיות בע"מ</v>
          </cell>
          <cell r="J1614">
            <v>1.3</v>
          </cell>
          <cell r="K1614" t="str">
            <v>₪</v>
          </cell>
          <cell r="L1614">
            <v>100</v>
          </cell>
          <cell r="M1614" t="str">
            <v>יח'</v>
          </cell>
          <cell r="N1614">
            <v>130</v>
          </cell>
        </row>
        <row r="1615">
          <cell r="B1615" t="str">
            <v>מנדרל M4</v>
          </cell>
          <cell r="C1615">
            <v>34304</v>
          </cell>
          <cell r="D1615">
            <v>2</v>
          </cell>
          <cell r="E1615" t="str">
            <v>קשיח</v>
          </cell>
          <cell r="F1615" t="str">
            <v>01.0607</v>
          </cell>
          <cell r="G1615">
            <v>45102</v>
          </cell>
          <cell r="H1615" t="str">
            <v>01.0607</v>
          </cell>
          <cell r="I1615" t="str">
            <v>לוונשטיין טכנולוגיות בע"מ</v>
          </cell>
          <cell r="J1615">
            <v>185</v>
          </cell>
          <cell r="K1615" t="str">
            <v>₪</v>
          </cell>
          <cell r="L1615">
            <v>1</v>
          </cell>
          <cell r="M1615" t="str">
            <v>יח'</v>
          </cell>
          <cell r="N1615">
            <v>185</v>
          </cell>
        </row>
        <row r="1616">
          <cell r="B1616" t="str">
            <v>מנדרל M4</v>
          </cell>
          <cell r="C1616">
            <v>34314</v>
          </cell>
          <cell r="D1616">
            <v>2</v>
          </cell>
          <cell r="E1616" t="str">
            <v>קשיח</v>
          </cell>
          <cell r="F1616" t="str">
            <v>01.0607</v>
          </cell>
          <cell r="G1616">
            <v>45102</v>
          </cell>
          <cell r="H1616" t="str">
            <v>01.0607</v>
          </cell>
          <cell r="I1616" t="str">
            <v>דר טכנולוגיות בע"מ</v>
          </cell>
          <cell r="J1616">
            <v>430</v>
          </cell>
          <cell r="K1616" t="str">
            <v>₪</v>
          </cell>
          <cell r="L1616">
            <v>2</v>
          </cell>
          <cell r="M1616" t="str">
            <v>יח'</v>
          </cell>
          <cell r="N1616">
            <v>860</v>
          </cell>
        </row>
        <row r="1617">
          <cell r="B1617" t="str">
            <v>חולץ קשיח NC2-NC6/M2-3.5</v>
          </cell>
          <cell r="C1617">
            <v>41725</v>
          </cell>
          <cell r="D1617">
            <v>1</v>
          </cell>
          <cell r="E1617" t="str">
            <v>קשיח</v>
          </cell>
          <cell r="F1617" t="str">
            <v>01.0608</v>
          </cell>
          <cell r="G1617">
            <v>45875</v>
          </cell>
          <cell r="H1617" t="str">
            <v>01.0608</v>
          </cell>
          <cell r="I1617" t="str">
            <v>לוונשטיין טכנולוגיות בע"מ</v>
          </cell>
          <cell r="J1617">
            <v>90</v>
          </cell>
          <cell r="K1617" t="str">
            <v>₪</v>
          </cell>
          <cell r="L1617">
            <v>4</v>
          </cell>
          <cell r="M1617" t="str">
            <v>יח'</v>
          </cell>
          <cell r="N1617">
            <v>360</v>
          </cell>
        </row>
        <row r="1618">
          <cell r="B1618" t="str">
            <v>חולץ קשיח NC2-NC6/M2-3.5</v>
          </cell>
          <cell r="C1618">
            <v>38562</v>
          </cell>
          <cell r="D1618">
            <v>6</v>
          </cell>
          <cell r="E1618" t="str">
            <v>קשיח</v>
          </cell>
          <cell r="F1618" t="str">
            <v>01.0608</v>
          </cell>
          <cell r="G1618">
            <v>45579</v>
          </cell>
          <cell r="H1618" t="str">
            <v>01.0608</v>
          </cell>
          <cell r="I1618" t="str">
            <v>לוונשטיין טכנולוגיות בע"מ</v>
          </cell>
          <cell r="J1618">
            <v>90</v>
          </cell>
          <cell r="K1618" t="str">
            <v>₪</v>
          </cell>
          <cell r="L1618">
            <v>3</v>
          </cell>
          <cell r="M1618" t="str">
            <v>יח'</v>
          </cell>
          <cell r="N1618">
            <v>270</v>
          </cell>
        </row>
        <row r="1619">
          <cell r="B1619" t="str">
            <v>חולץ קשיח NC2-NC6/M2-3.5</v>
          </cell>
          <cell r="C1619">
            <v>34343</v>
          </cell>
          <cell r="D1619">
            <v>1</v>
          </cell>
          <cell r="E1619" t="str">
            <v>קשיח</v>
          </cell>
          <cell r="F1619" t="str">
            <v>01.0608</v>
          </cell>
          <cell r="G1619">
            <v>45105</v>
          </cell>
          <cell r="H1619" t="str">
            <v>01.0608</v>
          </cell>
          <cell r="I1619" t="str">
            <v>לוונשטיין טכנולוגיות בע"מ</v>
          </cell>
          <cell r="J1619">
            <v>85</v>
          </cell>
          <cell r="K1619" t="str">
            <v>₪</v>
          </cell>
          <cell r="L1619">
            <v>5</v>
          </cell>
          <cell r="M1619" t="str">
            <v>יח'</v>
          </cell>
          <cell r="N1619">
            <v>425</v>
          </cell>
        </row>
        <row r="1620">
          <cell r="B1620" t="str">
            <v>חולץ קשיח M4-10 NF/NC8-3/8</v>
          </cell>
          <cell r="C1620">
            <v>39749</v>
          </cell>
          <cell r="D1620">
            <v>18</v>
          </cell>
          <cell r="E1620" t="str">
            <v>קשיח</v>
          </cell>
          <cell r="F1620" t="str">
            <v>01.0609</v>
          </cell>
          <cell r="G1620">
            <v>45697</v>
          </cell>
          <cell r="H1620" t="str">
            <v>01.0609</v>
          </cell>
          <cell r="I1620" t="str">
            <v>לוונשטיין טכנולוגיות בע"מ</v>
          </cell>
          <cell r="J1620">
            <v>83.3</v>
          </cell>
          <cell r="K1620" t="str">
            <v>₪</v>
          </cell>
          <cell r="L1620">
            <v>2</v>
          </cell>
          <cell r="M1620" t="str">
            <v>יח'</v>
          </cell>
          <cell r="N1620">
            <v>166.6</v>
          </cell>
        </row>
        <row r="1621">
          <cell r="B1621" t="str">
            <v>חולץ קשיח M4-10 NF/NC8-3/8</v>
          </cell>
          <cell r="C1621">
            <v>38570</v>
          </cell>
          <cell r="D1621">
            <v>1</v>
          </cell>
          <cell r="E1621" t="str">
            <v>קשיח</v>
          </cell>
          <cell r="F1621" t="str">
            <v>01.0609</v>
          </cell>
          <cell r="G1621">
            <v>45579</v>
          </cell>
          <cell r="H1621" t="str">
            <v>01.0609</v>
          </cell>
          <cell r="I1621" t="str">
            <v>לוונשטיין טכנולוגיות בע"מ</v>
          </cell>
          <cell r="J1621">
            <v>85</v>
          </cell>
          <cell r="K1621" t="str">
            <v>₪</v>
          </cell>
          <cell r="L1621">
            <v>3</v>
          </cell>
          <cell r="M1621" t="str">
            <v>יח'</v>
          </cell>
          <cell r="N1621">
            <v>255</v>
          </cell>
        </row>
        <row r="1622">
          <cell r="B1622" t="str">
            <v>חולץ קשיח M4-10 NF/NC8-3/8</v>
          </cell>
          <cell r="C1622">
            <v>34343</v>
          </cell>
          <cell r="D1622">
            <v>2</v>
          </cell>
          <cell r="E1622" t="str">
            <v>קשיח</v>
          </cell>
          <cell r="F1622" t="str">
            <v>01.0609</v>
          </cell>
          <cell r="G1622">
            <v>45105</v>
          </cell>
          <cell r="H1622" t="str">
            <v>01.0609</v>
          </cell>
          <cell r="I1622" t="str">
            <v>לוונשטיין טכנולוגיות בע"מ</v>
          </cell>
          <cell r="J1622">
            <v>85</v>
          </cell>
          <cell r="K1622" t="str">
            <v>₪</v>
          </cell>
          <cell r="L1622">
            <v>5</v>
          </cell>
          <cell r="M1622" t="str">
            <v>יח'</v>
          </cell>
          <cell r="N1622">
            <v>425</v>
          </cell>
        </row>
        <row r="1623">
          <cell r="B1623" t="str">
            <v>חולץ קשיח M11-16 NC/NF-1/2</v>
          </cell>
          <cell r="C1623">
            <v>39749</v>
          </cell>
          <cell r="D1623">
            <v>19</v>
          </cell>
          <cell r="E1623" t="str">
            <v>קשיח</v>
          </cell>
          <cell r="F1623" t="str">
            <v>01.0610</v>
          </cell>
          <cell r="G1623">
            <v>45697</v>
          </cell>
          <cell r="H1623" t="str">
            <v>01.0610</v>
          </cell>
          <cell r="I1623" t="str">
            <v>לוונשטיין טכנולוגיות בע"מ</v>
          </cell>
          <cell r="J1623">
            <v>102.9</v>
          </cell>
          <cell r="K1623" t="str">
            <v>₪</v>
          </cell>
          <cell r="L1623">
            <v>1</v>
          </cell>
          <cell r="M1623" t="str">
            <v>יח'</v>
          </cell>
          <cell r="N1623">
            <v>102.9</v>
          </cell>
        </row>
        <row r="1624">
          <cell r="B1624" t="str">
            <v>חולץ קשיח M11-16 NC/NF-1/2</v>
          </cell>
          <cell r="C1624">
            <v>38570</v>
          </cell>
          <cell r="D1624">
            <v>2</v>
          </cell>
          <cell r="E1624" t="str">
            <v>קשיח</v>
          </cell>
          <cell r="F1624" t="str">
            <v>01.0610</v>
          </cell>
          <cell r="G1624">
            <v>45579</v>
          </cell>
          <cell r="H1624" t="str">
            <v>01.0610</v>
          </cell>
          <cell r="I1624" t="str">
            <v>לוונשטיין טכנולוגיות בע"מ</v>
          </cell>
          <cell r="J1624">
            <v>105</v>
          </cell>
          <cell r="K1624" t="str">
            <v>₪</v>
          </cell>
          <cell r="L1624">
            <v>3</v>
          </cell>
          <cell r="M1624" t="str">
            <v>יח'</v>
          </cell>
          <cell r="N1624">
            <v>315</v>
          </cell>
        </row>
        <row r="1625">
          <cell r="B1625" t="str">
            <v>חולץ קשיח M11-16 NC/NF-1/2</v>
          </cell>
          <cell r="C1625">
            <v>34343</v>
          </cell>
          <cell r="D1625">
            <v>3</v>
          </cell>
          <cell r="E1625" t="str">
            <v>קשיח</v>
          </cell>
          <cell r="F1625" t="str">
            <v>01.0610</v>
          </cell>
          <cell r="G1625">
            <v>45105</v>
          </cell>
          <cell r="H1625" t="str">
            <v>01.0610</v>
          </cell>
          <cell r="I1625" t="str">
            <v>לוונשטיין טכנולוגיות בע"מ</v>
          </cell>
          <cell r="J1625">
            <v>95</v>
          </cell>
          <cell r="K1625" t="str">
            <v>₪</v>
          </cell>
          <cell r="L1625">
            <v>5</v>
          </cell>
          <cell r="M1625" t="str">
            <v>יח'</v>
          </cell>
          <cell r="N1625">
            <v>475</v>
          </cell>
        </row>
        <row r="1626">
          <cell r="B1626" t="str">
            <v>מנדרל למכונה פנאומטית  8-32</v>
          </cell>
          <cell r="C1626">
            <v>38324</v>
          </cell>
          <cell r="D1626">
            <v>3</v>
          </cell>
          <cell r="E1626" t="str">
            <v>קשיח</v>
          </cell>
          <cell r="F1626" t="str">
            <v>01.0611</v>
          </cell>
          <cell r="G1626">
            <v>45550</v>
          </cell>
          <cell r="H1626" t="str">
            <v>01.0611</v>
          </cell>
          <cell r="I1626" t="str">
            <v>לוונשטיין טכנולוגיות בע"מ</v>
          </cell>
          <cell r="J1626">
            <v>375</v>
          </cell>
          <cell r="K1626" t="str">
            <v>₪</v>
          </cell>
          <cell r="L1626">
            <v>2</v>
          </cell>
          <cell r="M1626" t="str">
            <v>יח'</v>
          </cell>
          <cell r="N1626">
            <v>750</v>
          </cell>
        </row>
        <row r="1627">
          <cell r="B1627" t="str">
            <v>מנדרל למכונה פנאומטית  8-32</v>
          </cell>
          <cell r="C1627">
            <v>34459</v>
          </cell>
          <cell r="D1627">
            <v>1</v>
          </cell>
          <cell r="E1627" t="str">
            <v>קשיח</v>
          </cell>
          <cell r="F1627" t="str">
            <v>01.0611</v>
          </cell>
          <cell r="G1627">
            <v>45118</v>
          </cell>
          <cell r="H1627" t="str">
            <v>01.0611</v>
          </cell>
          <cell r="I1627" t="str">
            <v>דר טכנולוגיות בע"מ</v>
          </cell>
          <cell r="J1627">
            <v>500</v>
          </cell>
          <cell r="K1627" t="str">
            <v>₪</v>
          </cell>
          <cell r="L1627">
            <v>5</v>
          </cell>
          <cell r="M1627" t="str">
            <v>יח'</v>
          </cell>
          <cell r="N1627">
            <v>2500</v>
          </cell>
        </row>
        <row r="1628">
          <cell r="B1628" t="str">
            <v>כלי החדרה ידני ל M2</v>
          </cell>
          <cell r="C1628">
            <v>35082</v>
          </cell>
          <cell r="D1628">
            <v>2</v>
          </cell>
          <cell r="E1628" t="str">
            <v>קשיח</v>
          </cell>
          <cell r="F1628" t="str">
            <v>01.0613</v>
          </cell>
          <cell r="G1628">
            <v>45180</v>
          </cell>
          <cell r="H1628" t="str">
            <v>01.0613</v>
          </cell>
          <cell r="I1628" t="str">
            <v>דר טכנולוגיות בע"מ</v>
          </cell>
          <cell r="J1628">
            <v>490</v>
          </cell>
          <cell r="K1628" t="str">
            <v>₪</v>
          </cell>
          <cell r="L1628">
            <v>2</v>
          </cell>
          <cell r="M1628" t="str">
            <v>יח'</v>
          </cell>
          <cell r="N1628">
            <v>980</v>
          </cell>
        </row>
        <row r="1629">
          <cell r="B1629" t="str">
            <v>מכשיר פנאומטי להחדרת הליקיולים</v>
          </cell>
          <cell r="C1629">
            <v>34990</v>
          </cell>
          <cell r="D1629">
            <v>1</v>
          </cell>
          <cell r="E1629" t="str">
            <v>קשיח</v>
          </cell>
          <cell r="F1629" t="str">
            <v>01.0615</v>
          </cell>
          <cell r="G1629">
            <v>45172</v>
          </cell>
          <cell r="H1629" t="str">
            <v>01.0615</v>
          </cell>
          <cell r="I1629" t="str">
            <v>לוונשטיין טכנולוגיות בע"מ</v>
          </cell>
          <cell r="J1629">
            <v>5700</v>
          </cell>
          <cell r="K1629" t="str">
            <v>₪</v>
          </cell>
          <cell r="L1629">
            <v>1</v>
          </cell>
          <cell r="M1629" t="str">
            <v>יח'</v>
          </cell>
          <cell r="N1629">
            <v>5700</v>
          </cell>
        </row>
        <row r="1630">
          <cell r="B1630" t="str">
            <v>M6*2.5D</v>
          </cell>
          <cell r="C1630">
            <v>35094</v>
          </cell>
          <cell r="D1630">
            <v>1</v>
          </cell>
          <cell r="E1630" t="str">
            <v>קשיח</v>
          </cell>
          <cell r="F1630" t="str">
            <v>01.0616</v>
          </cell>
          <cell r="G1630">
            <v>45181</v>
          </cell>
          <cell r="H1630" t="str">
            <v>01.0616</v>
          </cell>
          <cell r="I1630" t="str">
            <v>דר טכנולוגיות בע"מ</v>
          </cell>
          <cell r="J1630">
            <v>0.6</v>
          </cell>
          <cell r="K1630" t="str">
            <v>₪</v>
          </cell>
          <cell r="L1630">
            <v>100</v>
          </cell>
          <cell r="M1630" t="str">
            <v>יח'</v>
          </cell>
          <cell r="N1630">
            <v>60</v>
          </cell>
        </row>
        <row r="1631">
          <cell r="B1631" t="str">
            <v>INSERT M10*1.5 2D</v>
          </cell>
          <cell r="C1631">
            <v>35228</v>
          </cell>
          <cell r="D1631">
            <v>1</v>
          </cell>
          <cell r="E1631" t="str">
            <v>קשיח</v>
          </cell>
          <cell r="F1631" t="str">
            <v>01.0618</v>
          </cell>
          <cell r="G1631">
            <v>45201</v>
          </cell>
          <cell r="H1631" t="str">
            <v>01.0618</v>
          </cell>
          <cell r="I1631" t="str">
            <v>דר טכנולוגיות בע"מ</v>
          </cell>
          <cell r="J1631">
            <v>1</v>
          </cell>
          <cell r="K1631" t="str">
            <v>₪</v>
          </cell>
          <cell r="L1631">
            <v>50</v>
          </cell>
          <cell r="M1631" t="str">
            <v>יח'</v>
          </cell>
          <cell r="N1631">
            <v>50</v>
          </cell>
        </row>
        <row r="1632">
          <cell r="B1632" t="str">
            <v>MS21209F4-10L</v>
          </cell>
          <cell r="C1632">
            <v>35466</v>
          </cell>
          <cell r="D1632">
            <v>1</v>
          </cell>
          <cell r="E1632" t="str">
            <v>קשיח</v>
          </cell>
          <cell r="F1632" t="str">
            <v>01.0620</v>
          </cell>
          <cell r="G1632">
            <v>45235</v>
          </cell>
          <cell r="H1632" t="str">
            <v>01.0620</v>
          </cell>
          <cell r="I1632" t="str">
            <v>לוונשטיין טכנולוגיות בע"מ</v>
          </cell>
          <cell r="J1632">
            <v>1.9</v>
          </cell>
          <cell r="K1632" t="str">
            <v>₪</v>
          </cell>
          <cell r="L1632">
            <v>100</v>
          </cell>
          <cell r="M1632" t="str">
            <v>יח'</v>
          </cell>
          <cell r="N1632">
            <v>190</v>
          </cell>
        </row>
        <row r="1633">
          <cell r="B1633" t="str">
            <v>מנדרל M2.5</v>
          </cell>
          <cell r="C1633">
            <v>38324</v>
          </cell>
          <cell r="D1633">
            <v>8</v>
          </cell>
          <cell r="E1633" t="str">
            <v>קשיח</v>
          </cell>
          <cell r="F1633" t="str">
            <v>01.0621</v>
          </cell>
          <cell r="G1633">
            <v>45550</v>
          </cell>
          <cell r="H1633" t="str">
            <v>01.0621</v>
          </cell>
          <cell r="I1633" t="str">
            <v>לוונשטיין טכנולוגיות בע"מ</v>
          </cell>
          <cell r="J1633">
            <v>375</v>
          </cell>
          <cell r="K1633" t="str">
            <v>₪</v>
          </cell>
          <cell r="L1633">
            <v>3</v>
          </cell>
          <cell r="M1633" t="str">
            <v>יח'</v>
          </cell>
          <cell r="N1633">
            <v>1125</v>
          </cell>
        </row>
        <row r="1634">
          <cell r="B1634" t="str">
            <v>מנדרל M2.5</v>
          </cell>
          <cell r="C1634">
            <v>35570</v>
          </cell>
          <cell r="D1634">
            <v>1</v>
          </cell>
          <cell r="E1634" t="str">
            <v>קשיח</v>
          </cell>
          <cell r="F1634" t="str">
            <v>01.0621</v>
          </cell>
          <cell r="G1634">
            <v>45249</v>
          </cell>
          <cell r="H1634" t="str">
            <v>01.0621</v>
          </cell>
          <cell r="I1634" t="str">
            <v>לוונשטיין טכנולוגיות בע"מ</v>
          </cell>
          <cell r="J1634">
            <v>240</v>
          </cell>
          <cell r="K1634" t="str">
            <v>₪</v>
          </cell>
          <cell r="L1634">
            <v>1</v>
          </cell>
          <cell r="M1634" t="str">
            <v>יח'</v>
          </cell>
          <cell r="N1634">
            <v>240</v>
          </cell>
        </row>
        <row r="1635">
          <cell r="B1635" t="str">
            <v>חדר מכווץ [מתאם] ל 1D בולהוף</v>
          </cell>
          <cell r="C1635">
            <v>35570</v>
          </cell>
          <cell r="D1635">
            <v>2</v>
          </cell>
          <cell r="E1635" t="str">
            <v>קשיח</v>
          </cell>
          <cell r="F1635" t="str">
            <v>01.0622</v>
          </cell>
          <cell r="G1635">
            <v>45249</v>
          </cell>
          <cell r="H1635" t="str">
            <v>01.0622</v>
          </cell>
          <cell r="I1635" t="str">
            <v>לוונשטיין טכנולוגיות בע"מ</v>
          </cell>
          <cell r="J1635">
            <v>460</v>
          </cell>
          <cell r="K1635" t="str">
            <v>₪</v>
          </cell>
          <cell r="L1635">
            <v>1</v>
          </cell>
          <cell r="M1635" t="str">
            <v>יח'</v>
          </cell>
          <cell r="N1635">
            <v>460</v>
          </cell>
        </row>
        <row r="1636">
          <cell r="B1636" t="str">
            <v>מנדרל M6 בולהוף</v>
          </cell>
          <cell r="C1636">
            <v>35570</v>
          </cell>
          <cell r="D1636">
            <v>3</v>
          </cell>
          <cell r="E1636" t="str">
            <v>קשיח</v>
          </cell>
          <cell r="F1636" t="str">
            <v>01.0623</v>
          </cell>
          <cell r="G1636">
            <v>45249</v>
          </cell>
          <cell r="H1636" t="str">
            <v>01.0623</v>
          </cell>
          <cell r="I1636" t="str">
            <v>לוונשטיין טכנולוגיות בע"מ</v>
          </cell>
          <cell r="J1636">
            <v>240</v>
          </cell>
          <cell r="K1636" t="str">
            <v>₪</v>
          </cell>
          <cell r="L1636">
            <v>1</v>
          </cell>
          <cell r="M1636" t="str">
            <v>יח'</v>
          </cell>
          <cell r="N1636">
            <v>240</v>
          </cell>
        </row>
        <row r="1637">
          <cell r="B1637" t="str">
            <v>חדר מכווץ [מתאם] ל1D M6</v>
          </cell>
          <cell r="C1637">
            <v>35570</v>
          </cell>
          <cell r="D1637">
            <v>4</v>
          </cell>
          <cell r="E1637" t="str">
            <v>קשיח</v>
          </cell>
          <cell r="F1637" t="str">
            <v>01.0624</v>
          </cell>
          <cell r="G1637">
            <v>45249</v>
          </cell>
          <cell r="H1637" t="str">
            <v>01.0624</v>
          </cell>
          <cell r="I1637" t="str">
            <v>לוונשטיין טכנולוגיות בע"מ</v>
          </cell>
          <cell r="J1637">
            <v>460</v>
          </cell>
          <cell r="K1637" t="str">
            <v>₪</v>
          </cell>
          <cell r="L1637">
            <v>1</v>
          </cell>
          <cell r="M1637" t="str">
            <v>יח'</v>
          </cell>
          <cell r="N1637">
            <v>460</v>
          </cell>
        </row>
        <row r="1638">
          <cell r="B1638" t="str">
            <v>מנדרל 2-56</v>
          </cell>
          <cell r="C1638">
            <v>37064</v>
          </cell>
          <cell r="D1638">
            <v>2</v>
          </cell>
          <cell r="E1638" t="str">
            <v>קשיח</v>
          </cell>
          <cell r="F1638" t="str">
            <v>01.0625</v>
          </cell>
          <cell r="G1638">
            <v>45413</v>
          </cell>
          <cell r="H1638" t="str">
            <v>01.0625</v>
          </cell>
          <cell r="I1638" t="str">
            <v>לוונשטיין טכנולוגיות בע"מ</v>
          </cell>
          <cell r="J1638">
            <v>380</v>
          </cell>
          <cell r="K1638" t="str">
            <v>₪</v>
          </cell>
          <cell r="L1638">
            <v>3</v>
          </cell>
          <cell r="M1638" t="str">
            <v>יח'</v>
          </cell>
          <cell r="N1638">
            <v>1140</v>
          </cell>
        </row>
        <row r="1639">
          <cell r="B1639" t="str">
            <v>מנדרל 2-56</v>
          </cell>
          <cell r="C1639">
            <v>35570</v>
          </cell>
          <cell r="D1639">
            <v>5</v>
          </cell>
          <cell r="E1639" t="str">
            <v>קשיח</v>
          </cell>
          <cell r="F1639" t="str">
            <v>01.0625</v>
          </cell>
          <cell r="G1639">
            <v>45249</v>
          </cell>
          <cell r="H1639" t="str">
            <v>01.0625</v>
          </cell>
          <cell r="I1639" t="str">
            <v>לוונשטיין טכנולוגיות בע"מ</v>
          </cell>
          <cell r="J1639">
            <v>240</v>
          </cell>
          <cell r="K1639" t="str">
            <v>₪</v>
          </cell>
          <cell r="L1639">
            <v>1</v>
          </cell>
          <cell r="M1639" t="str">
            <v>יח'</v>
          </cell>
          <cell r="N1639">
            <v>240</v>
          </cell>
        </row>
        <row r="1640">
          <cell r="B1640" t="str">
            <v>חדר מכווץ [מתאם ] 2-56</v>
          </cell>
          <cell r="C1640">
            <v>39749</v>
          </cell>
          <cell r="D1640">
            <v>2</v>
          </cell>
          <cell r="E1640" t="str">
            <v>קשיח</v>
          </cell>
          <cell r="F1640" t="str">
            <v>01.0626</v>
          </cell>
          <cell r="G1640">
            <v>45697</v>
          </cell>
          <cell r="H1640" t="str">
            <v>01.0626</v>
          </cell>
          <cell r="I1640" t="str">
            <v>לוונשטיין טכנולוגיות בע"מ</v>
          </cell>
          <cell r="J1640">
            <v>735</v>
          </cell>
          <cell r="K1640" t="str">
            <v>₪</v>
          </cell>
          <cell r="L1640">
            <v>2</v>
          </cell>
          <cell r="M1640" t="str">
            <v>יח'</v>
          </cell>
          <cell r="N1640">
            <v>1470</v>
          </cell>
        </row>
        <row r="1641">
          <cell r="B1641" t="str">
            <v>חדר מכווץ [מתאם ] 2-56</v>
          </cell>
          <cell r="C1641">
            <v>35570</v>
          </cell>
          <cell r="D1641">
            <v>6</v>
          </cell>
          <cell r="E1641" t="str">
            <v>קשיח</v>
          </cell>
          <cell r="F1641" t="str">
            <v>01.0626</v>
          </cell>
          <cell r="G1641">
            <v>45249</v>
          </cell>
          <cell r="H1641" t="str">
            <v>01.0626</v>
          </cell>
          <cell r="I1641" t="str">
            <v>לוונשטיין טכנולוגיות בע"מ</v>
          </cell>
          <cell r="J1641">
            <v>500</v>
          </cell>
          <cell r="K1641" t="str">
            <v>₪</v>
          </cell>
          <cell r="L1641">
            <v>1</v>
          </cell>
          <cell r="M1641" t="str">
            <v>יח'</v>
          </cell>
          <cell r="N1641">
            <v>500</v>
          </cell>
        </row>
        <row r="1642">
          <cell r="B1642" t="str">
            <v>מנדרל ל NF10-32</v>
          </cell>
          <cell r="C1642">
            <v>35570</v>
          </cell>
          <cell r="D1642">
            <v>7</v>
          </cell>
          <cell r="E1642" t="str">
            <v>קשיח</v>
          </cell>
          <cell r="F1642" t="str">
            <v>01.0627</v>
          </cell>
          <cell r="G1642">
            <v>45249</v>
          </cell>
          <cell r="H1642" t="str">
            <v>01.0627</v>
          </cell>
          <cell r="I1642" t="str">
            <v>לוונשטיין טכנולוגיות בע"מ</v>
          </cell>
          <cell r="J1642">
            <v>240</v>
          </cell>
          <cell r="K1642" t="str">
            <v>₪</v>
          </cell>
          <cell r="L1642">
            <v>1</v>
          </cell>
          <cell r="M1642" t="str">
            <v>יח'</v>
          </cell>
          <cell r="N1642">
            <v>240</v>
          </cell>
        </row>
        <row r="1643">
          <cell r="B1643" t="str">
            <v>חדר מכווץ [מתאם] ל10-32</v>
          </cell>
          <cell r="C1643">
            <v>39749</v>
          </cell>
          <cell r="D1643">
            <v>10</v>
          </cell>
          <cell r="E1643" t="str">
            <v>קשיח</v>
          </cell>
          <cell r="F1643" t="str">
            <v>01.0628</v>
          </cell>
          <cell r="G1643">
            <v>45697</v>
          </cell>
          <cell r="H1643" t="str">
            <v>01.0628</v>
          </cell>
          <cell r="I1643" t="str">
            <v>לוונשטיין טכנולוגיות בע"מ</v>
          </cell>
          <cell r="J1643">
            <v>436.1</v>
          </cell>
          <cell r="K1643" t="str">
            <v>₪</v>
          </cell>
          <cell r="L1643">
            <v>1</v>
          </cell>
          <cell r="M1643" t="str">
            <v>יח'</v>
          </cell>
          <cell r="N1643">
            <v>436.1</v>
          </cell>
        </row>
        <row r="1644">
          <cell r="B1644" t="str">
            <v>חדר מכווץ [מתאם] ל10-32</v>
          </cell>
          <cell r="C1644">
            <v>35570</v>
          </cell>
          <cell r="D1644">
            <v>8</v>
          </cell>
          <cell r="E1644" t="str">
            <v>קשיח</v>
          </cell>
          <cell r="F1644" t="str">
            <v>01.0628</v>
          </cell>
          <cell r="G1644">
            <v>45249</v>
          </cell>
          <cell r="H1644" t="str">
            <v>01.0628</v>
          </cell>
          <cell r="I1644" t="str">
            <v>לוונשטיין טכנולוגיות בע"מ</v>
          </cell>
          <cell r="J1644">
            <v>400</v>
          </cell>
          <cell r="K1644" t="str">
            <v>₪</v>
          </cell>
          <cell r="L1644">
            <v>1</v>
          </cell>
          <cell r="M1644" t="str">
            <v>יח'</v>
          </cell>
          <cell r="N1644">
            <v>400</v>
          </cell>
        </row>
        <row r="1645">
          <cell r="B1645" t="str">
            <v>מנדרל ל NC10-24</v>
          </cell>
          <cell r="C1645">
            <v>35570</v>
          </cell>
          <cell r="D1645">
            <v>9</v>
          </cell>
          <cell r="E1645" t="str">
            <v>קשיח</v>
          </cell>
          <cell r="F1645" t="str">
            <v>01.0629</v>
          </cell>
          <cell r="G1645">
            <v>45249</v>
          </cell>
          <cell r="H1645" t="str">
            <v>01.0629</v>
          </cell>
          <cell r="I1645" t="str">
            <v>לוונשטיין טכנולוגיות בע"מ</v>
          </cell>
          <cell r="J1645">
            <v>240</v>
          </cell>
          <cell r="K1645" t="str">
            <v>₪</v>
          </cell>
          <cell r="L1645">
            <v>1</v>
          </cell>
          <cell r="M1645" t="str">
            <v>יח'</v>
          </cell>
          <cell r="N1645">
            <v>240</v>
          </cell>
        </row>
        <row r="1646">
          <cell r="B1646" t="str">
            <v>חדר מכווץ [מתאם ] ל 10-24</v>
          </cell>
          <cell r="C1646">
            <v>35570</v>
          </cell>
          <cell r="D1646">
            <v>10</v>
          </cell>
          <cell r="E1646" t="str">
            <v>קשיח</v>
          </cell>
          <cell r="F1646" t="str">
            <v>01.0630</v>
          </cell>
          <cell r="G1646">
            <v>45249</v>
          </cell>
          <cell r="H1646" t="str">
            <v>01.0630</v>
          </cell>
          <cell r="I1646" t="str">
            <v>לוונשטיין טכנולוגיות בע"מ</v>
          </cell>
          <cell r="J1646">
            <v>460</v>
          </cell>
          <cell r="K1646" t="str">
            <v>₪</v>
          </cell>
          <cell r="L1646">
            <v>1</v>
          </cell>
          <cell r="M1646" t="str">
            <v>יח'</v>
          </cell>
          <cell r="N1646">
            <v>460</v>
          </cell>
        </row>
        <row r="1647">
          <cell r="B1647" t="str">
            <v>מנדרל ל NC1/4</v>
          </cell>
          <cell r="C1647">
            <v>35570</v>
          </cell>
          <cell r="D1647">
            <v>11</v>
          </cell>
          <cell r="E1647" t="str">
            <v>קשיח</v>
          </cell>
          <cell r="F1647" t="str">
            <v>01.0631</v>
          </cell>
          <cell r="G1647">
            <v>45249</v>
          </cell>
          <cell r="H1647" t="str">
            <v>01.0631</v>
          </cell>
          <cell r="I1647" t="str">
            <v>לוונשטיין טכנולוגיות בע"מ</v>
          </cell>
          <cell r="J1647">
            <v>240</v>
          </cell>
          <cell r="K1647" t="str">
            <v>₪</v>
          </cell>
          <cell r="L1647">
            <v>1</v>
          </cell>
          <cell r="M1647" t="str">
            <v>יח'</v>
          </cell>
          <cell r="N1647">
            <v>240</v>
          </cell>
        </row>
        <row r="1648">
          <cell r="B1648" t="str">
            <v>חדר מכווץ [מתאם] ל NC1/4</v>
          </cell>
          <cell r="C1648">
            <v>35570</v>
          </cell>
          <cell r="D1648">
            <v>12</v>
          </cell>
          <cell r="E1648" t="str">
            <v>קשיח</v>
          </cell>
          <cell r="F1648" t="str">
            <v>01.0632</v>
          </cell>
          <cell r="G1648">
            <v>45249</v>
          </cell>
          <cell r="H1648" t="str">
            <v>01.0632</v>
          </cell>
          <cell r="I1648" t="str">
            <v>לוונשטיין טכנולוגיות בע"מ</v>
          </cell>
          <cell r="J1648">
            <v>520</v>
          </cell>
          <cell r="K1648" t="str">
            <v>₪</v>
          </cell>
          <cell r="L1648">
            <v>1</v>
          </cell>
          <cell r="M1648" t="str">
            <v>יח'</v>
          </cell>
          <cell r="N1648">
            <v>520</v>
          </cell>
        </row>
        <row r="1649">
          <cell r="B1649" t="str">
            <v>M3*0.5 1.5D/3279-152</v>
          </cell>
          <cell r="C1649">
            <v>35648</v>
          </cell>
          <cell r="D1649">
            <v>2</v>
          </cell>
          <cell r="E1649" t="str">
            <v>קשיח</v>
          </cell>
          <cell r="F1649" t="str">
            <v>01.0633</v>
          </cell>
          <cell r="G1649">
            <v>45257</v>
          </cell>
          <cell r="H1649" t="str">
            <v>01.0633</v>
          </cell>
          <cell r="I1649" t="str">
            <v>לוונשטיין טכנולוגיות בע"מ</v>
          </cell>
          <cell r="J1649">
            <v>0.55000000000000004</v>
          </cell>
          <cell r="K1649" t="str">
            <v>₪</v>
          </cell>
          <cell r="L1649">
            <v>1000</v>
          </cell>
          <cell r="M1649" t="str">
            <v>יח'</v>
          </cell>
          <cell r="N1649">
            <v>550</v>
          </cell>
        </row>
        <row r="1650">
          <cell r="B1650" t="str">
            <v>M2.5*0.45 1.5D /3329-151</v>
          </cell>
          <cell r="C1650">
            <v>35655</v>
          </cell>
          <cell r="D1650">
            <v>1</v>
          </cell>
          <cell r="E1650" t="str">
            <v>קשיח</v>
          </cell>
          <cell r="F1650" t="str">
            <v>01.0634</v>
          </cell>
          <cell r="G1650">
            <v>45258</v>
          </cell>
          <cell r="H1650" t="str">
            <v>01.0634</v>
          </cell>
          <cell r="I1650" t="str">
            <v>לוונשטיין טכנולוגיות בע"מ</v>
          </cell>
          <cell r="J1650">
            <v>1.35</v>
          </cell>
          <cell r="K1650" t="str">
            <v>₪</v>
          </cell>
          <cell r="L1650">
            <v>1000</v>
          </cell>
          <cell r="M1650" t="str">
            <v>יח'</v>
          </cell>
          <cell r="N1650">
            <v>1350</v>
          </cell>
        </row>
        <row r="1651">
          <cell r="B1651" t="str">
            <v>M2.5*0.45 1.5D /3279-151</v>
          </cell>
          <cell r="C1651">
            <v>35648</v>
          </cell>
          <cell r="D1651">
            <v>3</v>
          </cell>
          <cell r="E1651" t="str">
            <v>קשיח</v>
          </cell>
          <cell r="F1651" t="str">
            <v>01.0634</v>
          </cell>
          <cell r="G1651">
            <v>45257</v>
          </cell>
          <cell r="H1651" t="str">
            <v>01.0634</v>
          </cell>
          <cell r="I1651" t="str">
            <v>לוונשטיין טכנולוגיות בע"מ</v>
          </cell>
          <cell r="J1651">
            <v>0.59</v>
          </cell>
          <cell r="K1651" t="str">
            <v>₪</v>
          </cell>
          <cell r="L1651">
            <v>1000</v>
          </cell>
          <cell r="M1651" t="str">
            <v>יח'</v>
          </cell>
          <cell r="N1651">
            <v>590</v>
          </cell>
        </row>
        <row r="1652">
          <cell r="B1652" t="str">
            <v>M2*0.45 1D</v>
          </cell>
          <cell r="C1652">
            <v>35648</v>
          </cell>
          <cell r="D1652">
            <v>4</v>
          </cell>
          <cell r="E1652" t="str">
            <v>קשיח</v>
          </cell>
          <cell r="F1652" t="str">
            <v>01.0635</v>
          </cell>
          <cell r="G1652">
            <v>45257</v>
          </cell>
          <cell r="H1652" t="str">
            <v>01.0635</v>
          </cell>
          <cell r="I1652" t="str">
            <v>לוונשטיין טכנולוגיות בע"מ</v>
          </cell>
          <cell r="J1652">
            <v>0.7</v>
          </cell>
          <cell r="K1652" t="str">
            <v>₪</v>
          </cell>
          <cell r="L1652">
            <v>100</v>
          </cell>
          <cell r="M1652" t="str">
            <v>יח'</v>
          </cell>
          <cell r="N1652">
            <v>70</v>
          </cell>
        </row>
        <row r="1653">
          <cell r="B1653" t="str">
            <v>M3*1D LOCK</v>
          </cell>
          <cell r="C1653">
            <v>35655</v>
          </cell>
          <cell r="D1653">
            <v>3</v>
          </cell>
          <cell r="E1653" t="str">
            <v>קשיח</v>
          </cell>
          <cell r="F1653" t="str">
            <v>01.0636</v>
          </cell>
          <cell r="G1653">
            <v>45258</v>
          </cell>
          <cell r="H1653" t="str">
            <v>01.0636</v>
          </cell>
          <cell r="I1653" t="str">
            <v>לוונשטיין טכנולוגיות בע"מ</v>
          </cell>
          <cell r="J1653">
            <v>0.9</v>
          </cell>
          <cell r="K1653" t="str">
            <v>₪</v>
          </cell>
          <cell r="L1653">
            <v>200</v>
          </cell>
          <cell r="M1653" t="str">
            <v>יח'</v>
          </cell>
          <cell r="N1653">
            <v>180</v>
          </cell>
        </row>
        <row r="1654">
          <cell r="B1654" t="str">
            <v>MS124737</v>
          </cell>
          <cell r="C1654">
            <v>38301</v>
          </cell>
          <cell r="D1654">
            <v>1</v>
          </cell>
          <cell r="E1654" t="str">
            <v>קשיח</v>
          </cell>
          <cell r="F1654" t="str">
            <v>01.0638</v>
          </cell>
          <cell r="G1654">
            <v>45546</v>
          </cell>
          <cell r="H1654" t="str">
            <v>01.0638</v>
          </cell>
          <cell r="I1654" t="str">
            <v>דר טכנולוגיות בע"מ</v>
          </cell>
          <cell r="J1654">
            <v>0.8</v>
          </cell>
          <cell r="K1654" t="str">
            <v>₪</v>
          </cell>
          <cell r="L1654">
            <v>100</v>
          </cell>
          <cell r="M1654" t="str">
            <v>יח'</v>
          </cell>
          <cell r="N1654">
            <v>80</v>
          </cell>
        </row>
        <row r="1655">
          <cell r="B1655" t="str">
            <v>MS124737</v>
          </cell>
          <cell r="C1655">
            <v>35858</v>
          </cell>
          <cell r="D1655">
            <v>3</v>
          </cell>
          <cell r="E1655" t="str">
            <v>קשיח</v>
          </cell>
          <cell r="F1655" t="str">
            <v>01.0638</v>
          </cell>
          <cell r="G1655">
            <v>45279</v>
          </cell>
          <cell r="H1655" t="str">
            <v>01.0638</v>
          </cell>
          <cell r="I1655" t="str">
            <v>לוונשטיין טכנולוגיות בע"מ</v>
          </cell>
          <cell r="J1655">
            <v>0</v>
          </cell>
          <cell r="K1655" t="str">
            <v>₪</v>
          </cell>
          <cell r="L1655">
            <v>10</v>
          </cell>
          <cell r="M1655" t="str">
            <v>יח'</v>
          </cell>
          <cell r="N1655">
            <v>0</v>
          </cell>
        </row>
        <row r="1656">
          <cell r="B1656" t="str">
            <v>כלי החדרה לקינסרט MS51830-201</v>
          </cell>
          <cell r="C1656">
            <v>41285</v>
          </cell>
          <cell r="D1656">
            <v>4</v>
          </cell>
          <cell r="E1656" t="str">
            <v>קשיח</v>
          </cell>
          <cell r="F1656" t="str">
            <v>01.0639</v>
          </cell>
          <cell r="G1656">
            <v>45833</v>
          </cell>
          <cell r="H1656" t="str">
            <v>01.0639</v>
          </cell>
          <cell r="I1656" t="str">
            <v>גין מהנדסים בע"מ</v>
          </cell>
          <cell r="J1656">
            <v>380</v>
          </cell>
          <cell r="K1656" t="str">
            <v>₪</v>
          </cell>
          <cell r="L1656">
            <v>1</v>
          </cell>
          <cell r="M1656" t="str">
            <v>יח'</v>
          </cell>
          <cell r="N1656">
            <v>380</v>
          </cell>
        </row>
        <row r="1657">
          <cell r="B1657" t="str">
            <v>כלי החדרה לקינסרט MS51830-201</v>
          </cell>
          <cell r="C1657">
            <v>35891</v>
          </cell>
          <cell r="D1657">
            <v>1</v>
          </cell>
          <cell r="E1657" t="str">
            <v>קשיח</v>
          </cell>
          <cell r="F1657" t="str">
            <v>01.0639</v>
          </cell>
          <cell r="G1657">
            <v>45281</v>
          </cell>
          <cell r="H1657" t="str">
            <v>01.0639</v>
          </cell>
          <cell r="I1657" t="str">
            <v>לוונשטיין טכנולוגיות בע"מ</v>
          </cell>
          <cell r="J1657">
            <v>490</v>
          </cell>
          <cell r="K1657" t="str">
            <v>₪</v>
          </cell>
          <cell r="L1657">
            <v>2</v>
          </cell>
          <cell r="M1657" t="str">
            <v>יח'</v>
          </cell>
          <cell r="N1657">
            <v>980</v>
          </cell>
        </row>
        <row r="1658">
          <cell r="B1658" t="str">
            <v>כלי החדרה לקינסרט 402080060  82941</v>
          </cell>
          <cell r="C1658">
            <v>36128</v>
          </cell>
          <cell r="D1658">
            <v>1</v>
          </cell>
          <cell r="E1658" t="str">
            <v>קשיח</v>
          </cell>
          <cell r="F1658" t="str">
            <v>01.0640</v>
          </cell>
          <cell r="G1658">
            <v>45308</v>
          </cell>
          <cell r="H1658" t="str">
            <v>01.0640</v>
          </cell>
          <cell r="I1658" t="str">
            <v>גין מהנדסים בע"מ</v>
          </cell>
          <cell r="J1658">
            <v>520</v>
          </cell>
          <cell r="K1658" t="str">
            <v>₪</v>
          </cell>
          <cell r="L1658">
            <v>1</v>
          </cell>
          <cell r="M1658" t="str">
            <v>יח'</v>
          </cell>
          <cell r="N1658">
            <v>520</v>
          </cell>
        </row>
        <row r="1659">
          <cell r="B1659" t="str">
            <v>KEENSERT 10-32 UNF 0.31IN ST   NAS 1395C3L  /MS51831-201L  </v>
          </cell>
          <cell r="C1659">
            <v>36310</v>
          </cell>
          <cell r="D1659">
            <v>1</v>
          </cell>
          <cell r="E1659" t="str">
            <v>קשיח</v>
          </cell>
          <cell r="F1659" t="str">
            <v>01.0641</v>
          </cell>
          <cell r="G1659">
            <v>45323</v>
          </cell>
          <cell r="H1659" t="str">
            <v>01.0641</v>
          </cell>
          <cell r="I1659" t="str">
            <v>גין מהנדסים בע"מ</v>
          </cell>
          <cell r="J1659">
            <v>15</v>
          </cell>
          <cell r="K1659" t="str">
            <v>₪</v>
          </cell>
          <cell r="L1659">
            <v>10</v>
          </cell>
          <cell r="M1659" t="str">
            <v>יח'</v>
          </cell>
          <cell r="N1659">
            <v>150</v>
          </cell>
        </row>
        <row r="1660">
          <cell r="B1660" t="str">
            <v>MS51831-103L</v>
          </cell>
          <cell r="C1660">
            <v>36362</v>
          </cell>
          <cell r="D1660">
            <v>1</v>
          </cell>
          <cell r="E1660" t="str">
            <v>קשיח</v>
          </cell>
          <cell r="F1660" t="str">
            <v>01.0643</v>
          </cell>
          <cell r="G1660">
            <v>45329</v>
          </cell>
          <cell r="H1660" t="str">
            <v>01.0643</v>
          </cell>
          <cell r="I1660" t="str">
            <v>גין מהנדסים בע"מ</v>
          </cell>
          <cell r="J1660">
            <v>12.5</v>
          </cell>
          <cell r="K1660" t="str">
            <v>₪</v>
          </cell>
          <cell r="L1660">
            <v>35</v>
          </cell>
          <cell r="M1660" t="str">
            <v>יח'</v>
          </cell>
          <cell r="N1660">
            <v>437.5</v>
          </cell>
        </row>
        <row r="1661">
          <cell r="B1661" t="str">
            <v>M8*1.0 2D / 3279-208</v>
          </cell>
          <cell r="C1661">
            <v>36651</v>
          </cell>
          <cell r="D1661">
            <v>1</v>
          </cell>
          <cell r="E1661" t="str">
            <v>קשיח</v>
          </cell>
          <cell r="F1661" t="str">
            <v>01.0647</v>
          </cell>
          <cell r="G1661">
            <v>45368</v>
          </cell>
          <cell r="H1661" t="str">
            <v>01.0647</v>
          </cell>
          <cell r="I1661" t="str">
            <v>לוונשטיין טכנולוגיות בע"מ</v>
          </cell>
          <cell r="J1661">
            <v>1.6</v>
          </cell>
          <cell r="K1661" t="str">
            <v>₪</v>
          </cell>
          <cell r="L1661">
            <v>100</v>
          </cell>
          <cell r="M1661" t="str">
            <v>יח'</v>
          </cell>
          <cell r="N1661">
            <v>160</v>
          </cell>
        </row>
        <row r="1662">
          <cell r="B1662" t="str">
            <v>KN428J MS51830-202 /CL‐1428‐TSKS</v>
          </cell>
          <cell r="C1662">
            <v>36652</v>
          </cell>
          <cell r="D1662">
            <v>1</v>
          </cell>
          <cell r="E1662" t="str">
            <v>קשיח</v>
          </cell>
          <cell r="F1662" t="str">
            <v>01.0648</v>
          </cell>
          <cell r="G1662">
            <v>45369</v>
          </cell>
          <cell r="H1662" t="str">
            <v>01.0648</v>
          </cell>
          <cell r="I1662" t="str">
            <v>גין מהנדסים בע"מ</v>
          </cell>
          <cell r="J1662">
            <v>15</v>
          </cell>
          <cell r="K1662" t="str">
            <v>₪</v>
          </cell>
          <cell r="L1662">
            <v>10</v>
          </cell>
          <cell r="M1662" t="str">
            <v>יח'</v>
          </cell>
          <cell r="N1662">
            <v>150</v>
          </cell>
        </row>
        <row r="1663">
          <cell r="B1663" t="str">
            <v>MS21209F6-15</v>
          </cell>
          <cell r="C1663">
            <v>36817</v>
          </cell>
          <cell r="D1663">
            <v>1</v>
          </cell>
          <cell r="E1663" t="str">
            <v>קשיח</v>
          </cell>
          <cell r="F1663" t="str">
            <v>01.0651</v>
          </cell>
          <cell r="G1663">
            <v>45384</v>
          </cell>
          <cell r="H1663" t="str">
            <v>01.0651</v>
          </cell>
          <cell r="I1663" t="str">
            <v>דר טכנולוגיות בע"מ</v>
          </cell>
          <cell r="J1663">
            <v>0.7</v>
          </cell>
          <cell r="K1663" t="str">
            <v>₪</v>
          </cell>
          <cell r="L1663">
            <v>100</v>
          </cell>
          <cell r="M1663" t="str">
            <v>יח'</v>
          </cell>
          <cell r="N1663">
            <v>70</v>
          </cell>
        </row>
        <row r="1664">
          <cell r="B1664" t="str">
            <v>מנדרל 1/4-20</v>
          </cell>
          <cell r="C1664">
            <v>38324</v>
          </cell>
          <cell r="D1664">
            <v>5</v>
          </cell>
          <cell r="E1664" t="str">
            <v>קשיח</v>
          </cell>
          <cell r="F1664" t="str">
            <v>01.0652</v>
          </cell>
          <cell r="G1664">
            <v>45550</v>
          </cell>
          <cell r="H1664" t="str">
            <v>01.0652</v>
          </cell>
          <cell r="I1664" t="str">
            <v>לוונשטיין טכנולוגיות בע"מ</v>
          </cell>
          <cell r="J1664">
            <v>375</v>
          </cell>
          <cell r="K1664" t="str">
            <v>₪</v>
          </cell>
          <cell r="L1664">
            <v>2</v>
          </cell>
          <cell r="M1664" t="str">
            <v>יח'</v>
          </cell>
          <cell r="N1664">
            <v>750</v>
          </cell>
        </row>
        <row r="1665">
          <cell r="B1665" t="str">
            <v>מנדרל 1/4-20</v>
          </cell>
          <cell r="C1665">
            <v>37064</v>
          </cell>
          <cell r="D1665">
            <v>1</v>
          </cell>
          <cell r="E1665" t="str">
            <v>קשיח</v>
          </cell>
          <cell r="F1665" t="str">
            <v>01.0652</v>
          </cell>
          <cell r="G1665">
            <v>45413</v>
          </cell>
          <cell r="H1665" t="str">
            <v>01.0652</v>
          </cell>
          <cell r="I1665" t="str">
            <v>לוונשטיין טכנולוגיות בע"מ</v>
          </cell>
          <cell r="J1665">
            <v>380</v>
          </cell>
          <cell r="K1665" t="str">
            <v>₪</v>
          </cell>
          <cell r="L1665">
            <v>1</v>
          </cell>
          <cell r="M1665" t="str">
            <v>יח'</v>
          </cell>
          <cell r="N1665">
            <v>380</v>
          </cell>
        </row>
        <row r="1666">
          <cell r="B1666" t="str">
            <v>CL-91612-KS </v>
          </cell>
          <cell r="C1666">
            <v>37033</v>
          </cell>
          <cell r="D1666">
            <v>1</v>
          </cell>
          <cell r="E1666" t="str">
            <v>קשיח</v>
          </cell>
          <cell r="F1666" t="str">
            <v>01.0653</v>
          </cell>
          <cell r="G1666">
            <v>45412</v>
          </cell>
          <cell r="H1666" t="str">
            <v>01.0653</v>
          </cell>
          <cell r="I1666" t="str">
            <v>גין מהנדסים בע"מ</v>
          </cell>
          <cell r="J1666">
            <v>28</v>
          </cell>
          <cell r="K1666" t="str">
            <v>₪</v>
          </cell>
          <cell r="L1666">
            <v>5</v>
          </cell>
          <cell r="M1666" t="str">
            <v>יח'</v>
          </cell>
          <cell r="N1666">
            <v>140</v>
          </cell>
        </row>
        <row r="1667">
          <cell r="B1667" t="str">
            <v>DIN8140M6 L-6/3279-106</v>
          </cell>
          <cell r="C1667">
            <v>40563</v>
          </cell>
          <cell r="D1667">
            <v>1</v>
          </cell>
          <cell r="E1667" t="str">
            <v>קשיח</v>
          </cell>
          <cell r="F1667" t="str">
            <v>01.0654</v>
          </cell>
          <cell r="G1667">
            <v>45767</v>
          </cell>
          <cell r="H1667" t="str">
            <v>01.0654</v>
          </cell>
          <cell r="I1667" t="str">
            <v>דר טכנולוגיות בע"מ</v>
          </cell>
          <cell r="J1667">
            <v>0.6</v>
          </cell>
          <cell r="K1667" t="str">
            <v>₪</v>
          </cell>
          <cell r="L1667">
            <v>1600</v>
          </cell>
          <cell r="M1667" t="str">
            <v>יח'</v>
          </cell>
          <cell r="N1667">
            <v>960</v>
          </cell>
        </row>
        <row r="1668">
          <cell r="B1668" t="str">
            <v>DIN8140M6 L-6/3279-106</v>
          </cell>
          <cell r="C1668">
            <v>39844</v>
          </cell>
          <cell r="D1668">
            <v>1</v>
          </cell>
          <cell r="E1668" t="str">
            <v>קשיח</v>
          </cell>
          <cell r="F1668" t="str">
            <v>01.0654</v>
          </cell>
          <cell r="G1668">
            <v>45704</v>
          </cell>
          <cell r="H1668" t="str">
            <v>01.0654</v>
          </cell>
          <cell r="I1668" t="str">
            <v>דר טכנולוגיות בע"מ</v>
          </cell>
          <cell r="J1668">
            <v>0.6</v>
          </cell>
          <cell r="K1668" t="str">
            <v>₪</v>
          </cell>
          <cell r="L1668">
            <v>100</v>
          </cell>
          <cell r="M1668" t="str">
            <v>יח'</v>
          </cell>
          <cell r="N1668">
            <v>60</v>
          </cell>
        </row>
        <row r="1669">
          <cell r="B1669" t="str">
            <v>DIN8140M6 L-6/3279-106</v>
          </cell>
          <cell r="C1669">
            <v>37082</v>
          </cell>
          <cell r="D1669">
            <v>2</v>
          </cell>
          <cell r="E1669" t="str">
            <v>קשיח</v>
          </cell>
          <cell r="F1669" t="str">
            <v>01.0654</v>
          </cell>
          <cell r="G1669">
            <v>45414</v>
          </cell>
          <cell r="H1669" t="str">
            <v>01.0654</v>
          </cell>
          <cell r="I1669" t="str">
            <v>לוונשטיין טכנולוגיות בע"מ</v>
          </cell>
          <cell r="J1669">
            <v>0.57999999999999996</v>
          </cell>
          <cell r="K1669" t="str">
            <v>₪</v>
          </cell>
          <cell r="L1669">
            <v>2200</v>
          </cell>
          <cell r="M1669" t="str">
            <v>יח'</v>
          </cell>
          <cell r="N1669">
            <v>1276</v>
          </cell>
        </row>
        <row r="1670">
          <cell r="B1670" t="str">
            <v>KNM10X1.5 / M14 07660-110 CLM-1015-SKS</v>
          </cell>
          <cell r="C1670">
            <v>37291</v>
          </cell>
          <cell r="D1670">
            <v>1</v>
          </cell>
          <cell r="E1670" t="str">
            <v>קשיח</v>
          </cell>
          <cell r="F1670" t="str">
            <v>01.0656</v>
          </cell>
          <cell r="G1670">
            <v>45439</v>
          </cell>
          <cell r="H1670" t="str">
            <v>01.0656</v>
          </cell>
          <cell r="I1670" t="str">
            <v>גין מהנדסים בע"מ</v>
          </cell>
          <cell r="J1670">
            <v>18.5</v>
          </cell>
          <cell r="K1670" t="str">
            <v>₪</v>
          </cell>
          <cell r="L1670">
            <v>65</v>
          </cell>
          <cell r="M1670" t="str">
            <v>יח'</v>
          </cell>
          <cell r="N1670">
            <v>1202.5</v>
          </cell>
        </row>
        <row r="1671">
          <cell r="B1671" t="str">
            <v>KNM10X1.5 / M14 07660-110 CLM-1015-SKS</v>
          </cell>
          <cell r="C1671">
            <v>37291</v>
          </cell>
          <cell r="D1671">
            <v>3</v>
          </cell>
          <cell r="E1671" t="str">
            <v>קשיח</v>
          </cell>
          <cell r="F1671" t="str">
            <v>01.0656</v>
          </cell>
          <cell r="G1671">
            <v>45439</v>
          </cell>
          <cell r="H1671" t="str">
            <v>01.0656</v>
          </cell>
          <cell r="I1671" t="str">
            <v>גין מהנדסים בע"מ</v>
          </cell>
          <cell r="J1671">
            <v>18.5</v>
          </cell>
          <cell r="K1671" t="str">
            <v>₪</v>
          </cell>
          <cell r="L1671">
            <v>60</v>
          </cell>
          <cell r="M1671" t="str">
            <v>יח'</v>
          </cell>
          <cell r="N1671">
            <v>1110</v>
          </cell>
        </row>
        <row r="1672">
          <cell r="B1672" t="str">
            <v>MS21209C0415P</v>
          </cell>
          <cell r="C1672">
            <v>37348</v>
          </cell>
          <cell r="D1672">
            <v>1</v>
          </cell>
          <cell r="E1672" t="str">
            <v>קשיח</v>
          </cell>
          <cell r="F1672" t="str">
            <v>01.0658</v>
          </cell>
          <cell r="G1672">
            <v>45445</v>
          </cell>
          <cell r="H1672" t="str">
            <v>01.0658</v>
          </cell>
          <cell r="I1672" t="str">
            <v>לוונשטיין טכנולוגיות בע"מ</v>
          </cell>
          <cell r="J1672">
            <v>1.1000000000000001</v>
          </cell>
          <cell r="K1672" t="str">
            <v>₪</v>
          </cell>
          <cell r="L1672">
            <v>500</v>
          </cell>
          <cell r="M1672" t="str">
            <v>יח'</v>
          </cell>
          <cell r="N1672">
            <v>550</v>
          </cell>
        </row>
        <row r="1673">
          <cell r="B1673" t="str">
            <v>4184-4CN060/3329-154</v>
          </cell>
          <cell r="C1673">
            <v>37425</v>
          </cell>
          <cell r="D1673">
            <v>1</v>
          </cell>
          <cell r="E1673" t="str">
            <v>קשיח</v>
          </cell>
          <cell r="F1673" t="str">
            <v>01.0659</v>
          </cell>
          <cell r="G1673">
            <v>45449</v>
          </cell>
          <cell r="H1673" t="str">
            <v>01.0659</v>
          </cell>
          <cell r="I1673" t="str">
            <v>גין מהנדסים בע"מ</v>
          </cell>
          <cell r="J1673">
            <v>0.6</v>
          </cell>
          <cell r="K1673" t="str">
            <v>₪</v>
          </cell>
          <cell r="L1673">
            <v>1000</v>
          </cell>
          <cell r="M1673" t="str">
            <v>יח'</v>
          </cell>
          <cell r="N1673">
            <v>600</v>
          </cell>
        </row>
        <row r="1674">
          <cell r="B1674" t="str">
            <v>M6-1.5D SL 8140M6L-9  /3329-156</v>
          </cell>
          <cell r="C1674">
            <v>37726</v>
          </cell>
          <cell r="D1674">
            <v>1</v>
          </cell>
          <cell r="E1674" t="str">
            <v>קשיח</v>
          </cell>
          <cell r="F1674" t="str">
            <v>01.0663</v>
          </cell>
          <cell r="G1674">
            <v>45484</v>
          </cell>
          <cell r="H1674" t="str">
            <v>01.0663</v>
          </cell>
          <cell r="I1674" t="str">
            <v>דר טכנולוגיות בע"מ</v>
          </cell>
          <cell r="J1674">
            <v>0.8</v>
          </cell>
          <cell r="K1674" t="str">
            <v>₪</v>
          </cell>
          <cell r="L1674">
            <v>100</v>
          </cell>
          <cell r="M1674" t="str">
            <v>יח'</v>
          </cell>
          <cell r="N1674">
            <v>80</v>
          </cell>
        </row>
        <row r="1675">
          <cell r="B1675" t="str">
            <v>M8*1.25 1.5D /3329-159</v>
          </cell>
          <cell r="C1675">
            <v>37726</v>
          </cell>
          <cell r="D1675">
            <v>2</v>
          </cell>
          <cell r="E1675" t="str">
            <v>קשיח</v>
          </cell>
          <cell r="F1675" t="str">
            <v>01.0664</v>
          </cell>
          <cell r="G1675">
            <v>45484</v>
          </cell>
          <cell r="H1675" t="str">
            <v>01.0664</v>
          </cell>
          <cell r="I1675" t="str">
            <v>דר טכנולוגיות בע"מ</v>
          </cell>
          <cell r="J1675">
            <v>0.8</v>
          </cell>
          <cell r="K1675" t="str">
            <v>₪</v>
          </cell>
          <cell r="L1675">
            <v>250</v>
          </cell>
          <cell r="M1675" t="str">
            <v>יח'</v>
          </cell>
          <cell r="N1675">
            <v>200</v>
          </cell>
        </row>
        <row r="1676">
          <cell r="B1676" t="str">
            <v xml:space="preserve"> Helicoil M4*1.5d - Lock</v>
          </cell>
          <cell r="C1676">
            <v>37731</v>
          </cell>
          <cell r="D1676">
            <v>1</v>
          </cell>
          <cell r="E1676" t="str">
            <v>קשיח</v>
          </cell>
          <cell r="F1676" t="str">
            <v>01.0665</v>
          </cell>
          <cell r="G1676">
            <v>45487</v>
          </cell>
          <cell r="H1676" t="str">
            <v>01.0665</v>
          </cell>
          <cell r="I1676" t="str">
            <v>לוונשטיין טכנולוגיות בע"מ</v>
          </cell>
          <cell r="J1676">
            <v>0.86599999999999999</v>
          </cell>
          <cell r="K1676" t="str">
            <v>₪</v>
          </cell>
          <cell r="L1676">
            <v>1500</v>
          </cell>
          <cell r="M1676" t="str">
            <v>יח'</v>
          </cell>
          <cell r="N1676">
            <v>1299</v>
          </cell>
        </row>
        <row r="1677">
          <cell r="B1677" t="str">
            <v>4184-2CN030</v>
          </cell>
          <cell r="C1677">
            <v>44453</v>
          </cell>
          <cell r="D1677">
            <v>1</v>
          </cell>
          <cell r="E1677" t="str">
            <v>קשיח</v>
          </cell>
          <cell r="F1677" t="str">
            <v>01.0666</v>
          </cell>
          <cell r="G1677">
            <v>46037</v>
          </cell>
          <cell r="H1677" t="str">
            <v>01.0666</v>
          </cell>
          <cell r="I1677" t="str">
            <v>גין מהנדסים בע"מ</v>
          </cell>
          <cell r="J1677">
            <v>2</v>
          </cell>
          <cell r="K1677" t="str">
            <v>₪</v>
          </cell>
          <cell r="L1677">
            <v>100</v>
          </cell>
          <cell r="M1677" t="str">
            <v>יח'</v>
          </cell>
          <cell r="N1677">
            <v>200</v>
          </cell>
        </row>
        <row r="1678">
          <cell r="B1678" t="str">
            <v>4184-2CN030</v>
          </cell>
          <cell r="C1678">
            <v>37871</v>
          </cell>
          <cell r="D1678">
            <v>1</v>
          </cell>
          <cell r="E1678" t="str">
            <v>קשיח</v>
          </cell>
          <cell r="F1678" t="str">
            <v>01.0666</v>
          </cell>
          <cell r="G1678">
            <v>45502</v>
          </cell>
          <cell r="H1678" t="str">
            <v>01.0666</v>
          </cell>
          <cell r="I1678" t="str">
            <v>גין מהנדסים בע"מ</v>
          </cell>
          <cell r="J1678">
            <v>2</v>
          </cell>
          <cell r="K1678" t="str">
            <v>₪</v>
          </cell>
          <cell r="L1678">
            <v>300</v>
          </cell>
          <cell r="M1678" t="str">
            <v>יח'</v>
          </cell>
          <cell r="N1678">
            <v>600</v>
          </cell>
        </row>
        <row r="1679">
          <cell r="B1679" t="str">
            <v>NC1/4-20*0.312-UB001420-300-SP</v>
          </cell>
          <cell r="C1679">
            <v>38024</v>
          </cell>
          <cell r="D1679">
            <v>1</v>
          </cell>
          <cell r="E1679" t="str">
            <v>קשיח</v>
          </cell>
          <cell r="F1679" t="str">
            <v>01.0669</v>
          </cell>
          <cell r="G1679">
            <v>45516</v>
          </cell>
          <cell r="H1679" t="str">
            <v>01.0669</v>
          </cell>
          <cell r="I1679" t="str">
            <v>לוונשטיין טכנולוגיות בע"מ</v>
          </cell>
          <cell r="J1679">
            <v>3</v>
          </cell>
          <cell r="K1679" t="str">
            <v>₪</v>
          </cell>
          <cell r="L1679">
            <v>100</v>
          </cell>
          <cell r="M1679" t="str">
            <v>יח'</v>
          </cell>
          <cell r="N1679">
            <v>300</v>
          </cell>
        </row>
        <row r="1680">
          <cell r="B1680" t="str">
            <v>מברגת עפרון 7.2 V</v>
          </cell>
          <cell r="C1680">
            <v>38155</v>
          </cell>
          <cell r="D1680">
            <v>1</v>
          </cell>
          <cell r="E1680" t="str">
            <v>קשיח</v>
          </cell>
          <cell r="F1680" t="str">
            <v>01.0671</v>
          </cell>
          <cell r="G1680">
            <v>45531</v>
          </cell>
          <cell r="H1680" t="str">
            <v>01.0671</v>
          </cell>
          <cell r="I1680" t="str">
            <v>לוונשטיין טכנולוגיות בע"מ</v>
          </cell>
          <cell r="J1680">
            <v>800</v>
          </cell>
          <cell r="K1680" t="str">
            <v>₪</v>
          </cell>
          <cell r="L1680">
            <v>1</v>
          </cell>
          <cell r="M1680" t="str">
            <v>יח'</v>
          </cell>
          <cell r="N1680">
            <v>800</v>
          </cell>
        </row>
        <row r="1681">
          <cell r="B1681" t="str">
            <v>M8*1 1D /MA3279-108</v>
          </cell>
          <cell r="C1681">
            <v>39845</v>
          </cell>
          <cell r="D1681">
            <v>1</v>
          </cell>
          <cell r="E1681" t="str">
            <v>קשיח</v>
          </cell>
          <cell r="F1681" t="str">
            <v>01.0672</v>
          </cell>
          <cell r="G1681">
            <v>45704</v>
          </cell>
          <cell r="H1681" t="str">
            <v>01.0672</v>
          </cell>
          <cell r="I1681" t="str">
            <v>לוונשטיין טכנולוגיות בע"מ</v>
          </cell>
          <cell r="J1681">
            <v>1.4</v>
          </cell>
          <cell r="K1681" t="str">
            <v>₪</v>
          </cell>
          <cell r="L1681">
            <v>100</v>
          </cell>
          <cell r="M1681" t="str">
            <v>יח'</v>
          </cell>
          <cell r="N1681">
            <v>140</v>
          </cell>
        </row>
        <row r="1682">
          <cell r="B1682" t="str">
            <v>M8*1 1D /MA3279-108</v>
          </cell>
          <cell r="C1682">
            <v>39821</v>
          </cell>
          <cell r="D1682">
            <v>2</v>
          </cell>
          <cell r="E1682" t="str">
            <v>קשיח</v>
          </cell>
          <cell r="F1682" t="str">
            <v>01.0672</v>
          </cell>
          <cell r="G1682">
            <v>45701</v>
          </cell>
          <cell r="H1682" t="str">
            <v>01.0672</v>
          </cell>
          <cell r="I1682" t="str">
            <v>דר טכנולוגיות בע"מ</v>
          </cell>
          <cell r="J1682">
            <v>0.6</v>
          </cell>
          <cell r="K1682" t="str">
            <v>₪</v>
          </cell>
          <cell r="L1682">
            <v>100</v>
          </cell>
          <cell r="M1682" t="str">
            <v>יח'</v>
          </cell>
          <cell r="N1682">
            <v>60</v>
          </cell>
        </row>
        <row r="1683">
          <cell r="B1683" t="str">
            <v>M8*1 1D /MA3279-108</v>
          </cell>
          <cell r="C1683">
            <v>38204</v>
          </cell>
          <cell r="D1683">
            <v>1</v>
          </cell>
          <cell r="E1683" t="str">
            <v>קשיח</v>
          </cell>
          <cell r="F1683" t="str">
            <v>01.0672</v>
          </cell>
          <cell r="G1683">
            <v>45536</v>
          </cell>
          <cell r="H1683" t="str">
            <v>01.0672</v>
          </cell>
          <cell r="I1683" t="str">
            <v>לוונשטיין טכנולוגיות בע"מ</v>
          </cell>
          <cell r="J1683">
            <v>1.2</v>
          </cell>
          <cell r="K1683" t="str">
            <v>₪</v>
          </cell>
          <cell r="L1683">
            <v>100</v>
          </cell>
          <cell r="M1683" t="str">
            <v>יח'</v>
          </cell>
          <cell r="N1683">
            <v>120</v>
          </cell>
        </row>
        <row r="1684">
          <cell r="B1684" t="str">
            <v>MS21209-C6-15</v>
          </cell>
          <cell r="C1684">
            <v>38674</v>
          </cell>
          <cell r="D1684">
            <v>1</v>
          </cell>
          <cell r="E1684" t="str">
            <v>קשיח</v>
          </cell>
          <cell r="F1684" t="str">
            <v>01.0674</v>
          </cell>
          <cell r="G1684">
            <v>45595</v>
          </cell>
          <cell r="H1684" t="str">
            <v>01.0674</v>
          </cell>
          <cell r="I1684" t="str">
            <v>דר טכנולוגיות בע"מ</v>
          </cell>
          <cell r="J1684">
            <v>2</v>
          </cell>
          <cell r="K1684" t="str">
            <v>₪</v>
          </cell>
          <cell r="L1684">
            <v>100</v>
          </cell>
          <cell r="M1684" t="str">
            <v>יח'</v>
          </cell>
          <cell r="N1684">
            <v>200</v>
          </cell>
        </row>
        <row r="1685">
          <cell r="B1685" t="str">
            <v>MS21209-C6-15</v>
          </cell>
          <cell r="C1685">
            <v>38536</v>
          </cell>
          <cell r="D1685">
            <v>1</v>
          </cell>
          <cell r="E1685" t="str">
            <v>קשיח</v>
          </cell>
          <cell r="F1685" t="str">
            <v>01.0674</v>
          </cell>
          <cell r="G1685">
            <v>45575</v>
          </cell>
          <cell r="H1685" t="str">
            <v>01.0674</v>
          </cell>
          <cell r="I1685" t="str">
            <v>דר טכנולוגיות בע"מ</v>
          </cell>
          <cell r="J1685">
            <v>2</v>
          </cell>
          <cell r="K1685" t="str">
            <v>₪</v>
          </cell>
          <cell r="M1685" t="str">
            <v>יח'</v>
          </cell>
        </row>
        <row r="1686">
          <cell r="B1686" t="str">
            <v>MS21209-C6-15</v>
          </cell>
          <cell r="C1686">
            <v>38428</v>
          </cell>
          <cell r="D1686">
            <v>1</v>
          </cell>
          <cell r="E1686" t="str">
            <v>קשיח</v>
          </cell>
          <cell r="F1686" t="str">
            <v>01.0674</v>
          </cell>
          <cell r="G1686">
            <v>45560</v>
          </cell>
          <cell r="H1686" t="str">
            <v>01.0674</v>
          </cell>
          <cell r="I1686" t="str">
            <v>דר טכנולוגיות בע"מ</v>
          </cell>
          <cell r="J1686">
            <v>2</v>
          </cell>
          <cell r="K1686" t="str">
            <v>₪</v>
          </cell>
          <cell r="L1686">
            <v>100</v>
          </cell>
          <cell r="M1686" t="str">
            <v>יח'</v>
          </cell>
          <cell r="N1686">
            <v>200</v>
          </cell>
        </row>
        <row r="1687">
          <cell r="B1687" t="str">
            <v>MS21209-C6-15</v>
          </cell>
          <cell r="C1687">
            <v>38308</v>
          </cell>
          <cell r="D1687">
            <v>1</v>
          </cell>
          <cell r="E1687" t="str">
            <v>קשיח</v>
          </cell>
          <cell r="F1687" t="str">
            <v>01.0674</v>
          </cell>
          <cell r="G1687">
            <v>45547</v>
          </cell>
          <cell r="H1687" t="str">
            <v>01.0674</v>
          </cell>
          <cell r="I1687" t="str">
            <v>דר טכנולוגיות בע"מ</v>
          </cell>
          <cell r="J1687">
            <v>2</v>
          </cell>
          <cell r="K1687" t="str">
            <v>₪</v>
          </cell>
          <cell r="L1687">
            <v>100</v>
          </cell>
          <cell r="M1687" t="str">
            <v>יח'</v>
          </cell>
          <cell r="N1687">
            <v>200</v>
          </cell>
        </row>
        <row r="1688">
          <cell r="B1688" t="str">
            <v>מנדרל M5</v>
          </cell>
          <cell r="C1688">
            <v>38324</v>
          </cell>
          <cell r="D1688">
            <v>9</v>
          </cell>
          <cell r="E1688" t="str">
            <v>קשיח</v>
          </cell>
          <cell r="F1688" t="str">
            <v>01.0675</v>
          </cell>
          <cell r="G1688">
            <v>45550</v>
          </cell>
          <cell r="H1688" t="str">
            <v>01.0675</v>
          </cell>
          <cell r="I1688" t="str">
            <v>לוונשטיין טכנולוגיות בע"מ</v>
          </cell>
          <cell r="J1688">
            <v>375</v>
          </cell>
          <cell r="K1688" t="str">
            <v>₪</v>
          </cell>
          <cell r="L1688">
            <v>2</v>
          </cell>
          <cell r="M1688" t="str">
            <v>יח'</v>
          </cell>
          <cell r="N1688">
            <v>750</v>
          </cell>
        </row>
        <row r="1689">
          <cell r="B1689" t="str">
            <v>KNHL820J / MS51831-206L</v>
          </cell>
          <cell r="C1689">
            <v>38438</v>
          </cell>
          <cell r="D1689">
            <v>2</v>
          </cell>
          <cell r="E1689" t="str">
            <v>קשיח</v>
          </cell>
          <cell r="F1689" t="str">
            <v>01.0676</v>
          </cell>
          <cell r="G1689">
            <v>45561</v>
          </cell>
          <cell r="H1689" t="str">
            <v>01.0676</v>
          </cell>
          <cell r="I1689" t="str">
            <v>גין מהנדסים בע"מ</v>
          </cell>
          <cell r="J1689">
            <v>17</v>
          </cell>
          <cell r="K1689" t="str">
            <v>₪</v>
          </cell>
          <cell r="L1689">
            <v>112</v>
          </cell>
          <cell r="M1689" t="str">
            <v>יח'</v>
          </cell>
          <cell r="N1689">
            <v>1904</v>
          </cell>
        </row>
        <row r="1690">
          <cell r="B1690" t="str">
            <v>MS21209C4-10 </v>
          </cell>
          <cell r="C1690">
            <v>38367</v>
          </cell>
          <cell r="D1690">
            <v>1</v>
          </cell>
          <cell r="E1690" t="str">
            <v>קשיח</v>
          </cell>
          <cell r="F1690" t="str">
            <v>01.0677</v>
          </cell>
          <cell r="G1690">
            <v>45553</v>
          </cell>
          <cell r="H1690" t="str">
            <v>01.0677</v>
          </cell>
          <cell r="I1690" t="str">
            <v>דר טכנולוגיות בע"מ</v>
          </cell>
          <cell r="J1690">
            <v>0.7</v>
          </cell>
          <cell r="K1690" t="str">
            <v>₪</v>
          </cell>
          <cell r="L1690">
            <v>100</v>
          </cell>
          <cell r="M1690" t="str">
            <v>יח'</v>
          </cell>
          <cell r="N1690">
            <v>70</v>
          </cell>
        </row>
        <row r="1691">
          <cell r="B1691" t="str">
            <v>חדר מכווץ לראש החדרה 4-40</v>
          </cell>
          <cell r="C1691">
            <v>39749</v>
          </cell>
          <cell r="D1691">
            <v>4</v>
          </cell>
          <cell r="E1691" t="str">
            <v>קשיח</v>
          </cell>
          <cell r="F1691" t="str">
            <v>01.0678</v>
          </cell>
          <cell r="G1691">
            <v>45697</v>
          </cell>
          <cell r="H1691" t="str">
            <v>01.0678</v>
          </cell>
          <cell r="I1691" t="str">
            <v>לוונשטיין טכנולוגיות בע"מ</v>
          </cell>
          <cell r="J1691">
            <v>465.5</v>
          </cell>
          <cell r="K1691" t="str">
            <v>₪</v>
          </cell>
          <cell r="L1691">
            <v>2</v>
          </cell>
          <cell r="M1691" t="str">
            <v>יח'</v>
          </cell>
          <cell r="N1691">
            <v>931</v>
          </cell>
        </row>
        <row r="1692">
          <cell r="B1692" t="str">
            <v>חדר מכווץ לראש החדרה 4-40</v>
          </cell>
          <cell r="C1692">
            <v>38562</v>
          </cell>
          <cell r="D1692">
            <v>3</v>
          </cell>
          <cell r="E1692" t="str">
            <v>קשיח</v>
          </cell>
          <cell r="F1692" t="str">
            <v>01.0678</v>
          </cell>
          <cell r="G1692">
            <v>45579</v>
          </cell>
          <cell r="H1692" t="str">
            <v>01.0678</v>
          </cell>
          <cell r="I1692" t="str">
            <v>לוונשטיין טכנולוגיות בע"מ</v>
          </cell>
          <cell r="J1692">
            <v>475</v>
          </cell>
          <cell r="K1692" t="str">
            <v>₪</v>
          </cell>
          <cell r="L1692">
            <v>2</v>
          </cell>
          <cell r="M1692" t="str">
            <v>יח'</v>
          </cell>
          <cell r="N1692">
            <v>950</v>
          </cell>
        </row>
        <row r="1693">
          <cell r="B1693" t="str">
            <v>כלי החדרה NC2-56</v>
          </cell>
          <cell r="C1693">
            <v>39749</v>
          </cell>
          <cell r="D1693">
            <v>20</v>
          </cell>
          <cell r="E1693" t="str">
            <v>קשיח</v>
          </cell>
          <cell r="F1693" t="str">
            <v>01.0679</v>
          </cell>
          <cell r="G1693">
            <v>45697</v>
          </cell>
          <cell r="H1693" t="str">
            <v>01.0679</v>
          </cell>
          <cell r="I1693" t="str">
            <v>לוונשטיין טכנולוגיות בע"מ</v>
          </cell>
          <cell r="J1693">
            <v>592.9</v>
          </cell>
          <cell r="K1693" t="str">
            <v>₪</v>
          </cell>
          <cell r="L1693">
            <v>2</v>
          </cell>
          <cell r="M1693" t="str">
            <v>יח'</v>
          </cell>
          <cell r="N1693">
            <v>1185.8</v>
          </cell>
        </row>
        <row r="1694">
          <cell r="B1694" t="str">
            <v>כלי החדרה NC2-56</v>
          </cell>
          <cell r="C1694">
            <v>38570</v>
          </cell>
          <cell r="D1694">
            <v>3</v>
          </cell>
          <cell r="E1694" t="str">
            <v>קשיח</v>
          </cell>
          <cell r="F1694" t="str">
            <v>01.0679</v>
          </cell>
          <cell r="G1694">
            <v>45579</v>
          </cell>
          <cell r="H1694" t="str">
            <v>01.0679</v>
          </cell>
          <cell r="I1694" t="str">
            <v>לוונשטיין טכנולוגיות בע"מ</v>
          </cell>
          <cell r="J1694">
            <v>605</v>
          </cell>
          <cell r="K1694" t="str">
            <v>₪</v>
          </cell>
          <cell r="L1694">
            <v>2</v>
          </cell>
          <cell r="M1694" t="str">
            <v>יח'</v>
          </cell>
          <cell r="N1694">
            <v>1210</v>
          </cell>
        </row>
        <row r="1695">
          <cell r="B1695" t="str">
            <v>כלי החדרה מנואלה NF10-32</v>
          </cell>
          <cell r="C1695">
            <v>39749</v>
          </cell>
          <cell r="D1695">
            <v>24</v>
          </cell>
          <cell r="E1695" t="str">
            <v>קשיח</v>
          </cell>
          <cell r="F1695" t="str">
            <v>01.0680</v>
          </cell>
          <cell r="G1695">
            <v>45697</v>
          </cell>
          <cell r="H1695" t="str">
            <v>01.0680</v>
          </cell>
          <cell r="I1695" t="str">
            <v>לוונשטיין טכנולוגיות בע"מ</v>
          </cell>
          <cell r="J1695">
            <v>372.4</v>
          </cell>
          <cell r="K1695" t="str">
            <v>₪</v>
          </cell>
          <cell r="L1695">
            <v>2</v>
          </cell>
          <cell r="M1695" t="str">
            <v>יח'</v>
          </cell>
          <cell r="N1695">
            <v>744.8</v>
          </cell>
        </row>
        <row r="1696">
          <cell r="B1696" t="str">
            <v>כלי החדרה מנואלה NF10-32</v>
          </cell>
          <cell r="C1696">
            <v>38570</v>
          </cell>
          <cell r="D1696">
            <v>6</v>
          </cell>
          <cell r="E1696" t="str">
            <v>קשיח</v>
          </cell>
          <cell r="F1696" t="str">
            <v>01.0680</v>
          </cell>
          <cell r="G1696">
            <v>45579</v>
          </cell>
          <cell r="H1696" t="str">
            <v>01.0680</v>
          </cell>
          <cell r="I1696" t="str">
            <v>לוונשטיין טכנולוגיות בע"מ</v>
          </cell>
          <cell r="J1696">
            <v>345</v>
          </cell>
          <cell r="K1696" t="str">
            <v>₪</v>
          </cell>
          <cell r="L1696">
            <v>2</v>
          </cell>
          <cell r="M1696" t="str">
            <v>יח'</v>
          </cell>
          <cell r="N1696">
            <v>690</v>
          </cell>
        </row>
        <row r="1697">
          <cell r="B1697" t="str">
            <v>כלי החדרה מנואלה NC1/4</v>
          </cell>
          <cell r="C1697">
            <v>39749</v>
          </cell>
          <cell r="D1697">
            <v>25</v>
          </cell>
          <cell r="E1697" t="str">
            <v>קשיח</v>
          </cell>
          <cell r="F1697" t="str">
            <v>01.0681</v>
          </cell>
          <cell r="G1697">
            <v>45697</v>
          </cell>
          <cell r="H1697" t="str">
            <v>01.0681</v>
          </cell>
          <cell r="I1697" t="str">
            <v>לוונשטיין טכנולוגיות בע"מ</v>
          </cell>
          <cell r="J1697">
            <v>372.4</v>
          </cell>
          <cell r="K1697" t="str">
            <v>₪</v>
          </cell>
          <cell r="L1697">
            <v>2</v>
          </cell>
          <cell r="M1697" t="str">
            <v>יח'</v>
          </cell>
          <cell r="N1697">
            <v>744.8</v>
          </cell>
        </row>
        <row r="1698">
          <cell r="B1698" t="str">
            <v>כלי החדרה מנואלה NC1/4</v>
          </cell>
          <cell r="C1698">
            <v>38570</v>
          </cell>
          <cell r="D1698">
            <v>7</v>
          </cell>
          <cell r="E1698" t="str">
            <v>קשיח</v>
          </cell>
          <cell r="F1698" t="str">
            <v>01.0681</v>
          </cell>
          <cell r="G1698">
            <v>45579</v>
          </cell>
          <cell r="H1698" t="str">
            <v>01.0681</v>
          </cell>
          <cell r="I1698" t="str">
            <v>לוונשטיין טכנולוגיות בע"מ</v>
          </cell>
          <cell r="J1698">
            <v>345</v>
          </cell>
          <cell r="K1698" t="str">
            <v>₪</v>
          </cell>
          <cell r="L1698">
            <v>2</v>
          </cell>
          <cell r="M1698" t="str">
            <v>יח'</v>
          </cell>
          <cell r="N1698">
            <v>690</v>
          </cell>
        </row>
        <row r="1699">
          <cell r="B1699" t="str">
            <v>כלי החדרה מנואלה NF1/4</v>
          </cell>
          <cell r="C1699">
            <v>39749</v>
          </cell>
          <cell r="D1699">
            <v>26</v>
          </cell>
          <cell r="E1699" t="str">
            <v>קשיח</v>
          </cell>
          <cell r="F1699" t="str">
            <v>01.0682</v>
          </cell>
          <cell r="G1699">
            <v>45697</v>
          </cell>
          <cell r="H1699" t="str">
            <v>01.0682</v>
          </cell>
          <cell r="I1699" t="str">
            <v>לוונשטיין טכנולוגיות בע"מ</v>
          </cell>
          <cell r="J1699">
            <v>254.8</v>
          </cell>
          <cell r="K1699" t="str">
            <v>₪</v>
          </cell>
          <cell r="L1699">
            <v>2</v>
          </cell>
          <cell r="M1699" t="str">
            <v>יח'</v>
          </cell>
          <cell r="N1699">
            <v>509.6</v>
          </cell>
        </row>
        <row r="1700">
          <cell r="B1700" t="str">
            <v>כלי החדרה מנואלה NF1/4</v>
          </cell>
          <cell r="C1700">
            <v>38570</v>
          </cell>
          <cell r="D1700">
            <v>8</v>
          </cell>
          <cell r="E1700" t="str">
            <v>קשיח</v>
          </cell>
          <cell r="F1700" t="str">
            <v>01.0682</v>
          </cell>
          <cell r="G1700">
            <v>45579</v>
          </cell>
          <cell r="H1700" t="str">
            <v>01.0682</v>
          </cell>
          <cell r="I1700" t="str">
            <v>לוונשטיין טכנולוגיות בע"מ</v>
          </cell>
          <cell r="J1700">
            <v>345</v>
          </cell>
          <cell r="K1700" t="str">
            <v>₪</v>
          </cell>
          <cell r="L1700">
            <v>2</v>
          </cell>
          <cell r="M1700" t="str">
            <v>יח'</v>
          </cell>
          <cell r="N1700">
            <v>690</v>
          </cell>
        </row>
        <row r="1701">
          <cell r="B1701" t="str">
            <v>מנדרל למברגהNC2-56</v>
          </cell>
          <cell r="C1701">
            <v>39749</v>
          </cell>
          <cell r="D1701">
            <v>27</v>
          </cell>
          <cell r="E1701" t="str">
            <v>קשיח</v>
          </cell>
          <cell r="F1701" t="str">
            <v>01.0683</v>
          </cell>
          <cell r="G1701">
            <v>45697</v>
          </cell>
          <cell r="H1701" t="str">
            <v>01.0683</v>
          </cell>
          <cell r="I1701" t="str">
            <v>לוונשטיין טכנולוגיות בע"מ</v>
          </cell>
          <cell r="J1701">
            <v>284.2</v>
          </cell>
          <cell r="K1701" t="str">
            <v>₪</v>
          </cell>
          <cell r="L1701">
            <v>2</v>
          </cell>
          <cell r="M1701" t="str">
            <v>יח'</v>
          </cell>
          <cell r="N1701">
            <v>568.4</v>
          </cell>
        </row>
        <row r="1702">
          <cell r="B1702" t="str">
            <v>מנדרל למברגהNC2-56</v>
          </cell>
          <cell r="C1702">
            <v>38570</v>
          </cell>
          <cell r="D1702">
            <v>9</v>
          </cell>
          <cell r="E1702" t="str">
            <v>קשיח</v>
          </cell>
          <cell r="F1702" t="str">
            <v>01.0683</v>
          </cell>
          <cell r="G1702">
            <v>45579</v>
          </cell>
          <cell r="H1702" t="str">
            <v>01.0683</v>
          </cell>
          <cell r="I1702" t="str">
            <v>לוונשטיין טכנולוגיות בע"מ</v>
          </cell>
          <cell r="J1702">
            <v>305</v>
          </cell>
          <cell r="K1702" t="str">
            <v>₪</v>
          </cell>
          <cell r="L1702">
            <v>2</v>
          </cell>
          <cell r="M1702" t="str">
            <v>יח'</v>
          </cell>
          <cell r="N1702">
            <v>610</v>
          </cell>
        </row>
        <row r="1703">
          <cell r="B1703" t="str">
            <v>מנדרל למברגה NC4-40</v>
          </cell>
          <cell r="C1703">
            <v>39749</v>
          </cell>
          <cell r="D1703">
            <v>28</v>
          </cell>
          <cell r="E1703" t="str">
            <v>קשיח</v>
          </cell>
          <cell r="F1703" t="str">
            <v>01.0684</v>
          </cell>
          <cell r="G1703">
            <v>45697</v>
          </cell>
          <cell r="H1703" t="str">
            <v>01.0684</v>
          </cell>
          <cell r="I1703" t="str">
            <v>לוונשטיין טכנולוגיות בע"מ</v>
          </cell>
          <cell r="J1703">
            <v>284.2</v>
          </cell>
          <cell r="K1703" t="str">
            <v>₪</v>
          </cell>
          <cell r="L1703">
            <v>2</v>
          </cell>
          <cell r="M1703" t="str">
            <v>יח'</v>
          </cell>
          <cell r="N1703">
            <v>568.4</v>
          </cell>
        </row>
        <row r="1704">
          <cell r="B1704" t="str">
            <v>מנדרל למברגה NC4-40</v>
          </cell>
          <cell r="C1704">
            <v>38570</v>
          </cell>
          <cell r="D1704">
            <v>10</v>
          </cell>
          <cell r="E1704" t="str">
            <v>קשיח</v>
          </cell>
          <cell r="F1704" t="str">
            <v>01.0684</v>
          </cell>
          <cell r="G1704">
            <v>45579</v>
          </cell>
          <cell r="H1704" t="str">
            <v>01.0684</v>
          </cell>
          <cell r="I1704" t="str">
            <v>לוונשטיין טכנולוגיות בע"מ</v>
          </cell>
          <cell r="J1704">
            <v>265</v>
          </cell>
          <cell r="K1704" t="str">
            <v>₪</v>
          </cell>
          <cell r="L1704">
            <v>2</v>
          </cell>
          <cell r="M1704" t="str">
            <v>יח'</v>
          </cell>
          <cell r="N1704">
            <v>530</v>
          </cell>
        </row>
        <row r="1705">
          <cell r="B1705" t="str">
            <v>מנדרל למברגה NC8-32</v>
          </cell>
          <cell r="C1705">
            <v>39749</v>
          </cell>
          <cell r="D1705">
            <v>29</v>
          </cell>
          <cell r="E1705" t="str">
            <v>קשיח</v>
          </cell>
          <cell r="F1705" t="str">
            <v>01.0685</v>
          </cell>
          <cell r="G1705">
            <v>45697</v>
          </cell>
          <cell r="H1705" t="str">
            <v>01.0685</v>
          </cell>
          <cell r="I1705" t="str">
            <v>לוונשטיין טכנולוגיות בע"מ</v>
          </cell>
          <cell r="J1705">
            <v>284.2</v>
          </cell>
          <cell r="K1705" t="str">
            <v>₪</v>
          </cell>
          <cell r="L1705">
            <v>2</v>
          </cell>
          <cell r="M1705" t="str">
            <v>יח'</v>
          </cell>
          <cell r="N1705">
            <v>568.4</v>
          </cell>
        </row>
        <row r="1706">
          <cell r="B1706" t="str">
            <v>מנדרל למברגה NC8-32</v>
          </cell>
          <cell r="C1706">
            <v>38570</v>
          </cell>
          <cell r="D1706">
            <v>12</v>
          </cell>
          <cell r="E1706" t="str">
            <v>קשיח</v>
          </cell>
          <cell r="F1706" t="str">
            <v>01.0685</v>
          </cell>
          <cell r="G1706">
            <v>45579</v>
          </cell>
          <cell r="H1706" t="str">
            <v>01.0685</v>
          </cell>
          <cell r="I1706" t="str">
            <v>לוונשטיין טכנולוגיות בע"מ</v>
          </cell>
          <cell r="J1706">
            <v>260</v>
          </cell>
          <cell r="K1706" t="str">
            <v>₪</v>
          </cell>
          <cell r="L1706">
            <v>2</v>
          </cell>
          <cell r="M1706" t="str">
            <v>יח'</v>
          </cell>
          <cell r="N1706">
            <v>520</v>
          </cell>
        </row>
        <row r="1707">
          <cell r="B1707" t="str">
            <v>מנדרל למברגה NF10-32</v>
          </cell>
          <cell r="C1707">
            <v>39749</v>
          </cell>
          <cell r="D1707">
            <v>30</v>
          </cell>
          <cell r="E1707" t="str">
            <v>קשיח</v>
          </cell>
          <cell r="F1707" t="str">
            <v>01.0686</v>
          </cell>
          <cell r="G1707">
            <v>45697</v>
          </cell>
          <cell r="H1707" t="str">
            <v>01.0686</v>
          </cell>
          <cell r="I1707" t="str">
            <v>לוונשטיין טכנולוגיות בע"מ</v>
          </cell>
          <cell r="J1707">
            <v>284.2</v>
          </cell>
          <cell r="K1707" t="str">
            <v>₪</v>
          </cell>
          <cell r="L1707">
            <v>2</v>
          </cell>
          <cell r="M1707" t="str">
            <v>יח'</v>
          </cell>
          <cell r="N1707">
            <v>568.4</v>
          </cell>
        </row>
        <row r="1708">
          <cell r="B1708" t="str">
            <v>מנדרל למברגה NF10-32</v>
          </cell>
          <cell r="C1708">
            <v>38570</v>
          </cell>
          <cell r="D1708">
            <v>13</v>
          </cell>
          <cell r="E1708" t="str">
            <v>קשיח</v>
          </cell>
          <cell r="F1708" t="str">
            <v>01.0686</v>
          </cell>
          <cell r="G1708">
            <v>45579</v>
          </cell>
          <cell r="H1708" t="str">
            <v>01.0686</v>
          </cell>
          <cell r="I1708" t="str">
            <v>לוונשטיין טכנולוגיות בע"מ</v>
          </cell>
          <cell r="J1708">
            <v>305</v>
          </cell>
          <cell r="K1708" t="str">
            <v>₪</v>
          </cell>
          <cell r="L1708">
            <v>2</v>
          </cell>
          <cell r="M1708" t="str">
            <v>יח'</v>
          </cell>
          <cell r="N1708">
            <v>610</v>
          </cell>
        </row>
        <row r="1709">
          <cell r="B1709" t="str">
            <v>KNL616J S-MS51830-108L</v>
          </cell>
          <cell r="C1709">
            <v>38717</v>
          </cell>
          <cell r="D1709">
            <v>1</v>
          </cell>
          <cell r="E1709" t="str">
            <v>קשיח</v>
          </cell>
          <cell r="F1709" t="str">
            <v>01.0687</v>
          </cell>
          <cell r="G1709">
            <v>45602</v>
          </cell>
          <cell r="H1709" t="str">
            <v>01.0687</v>
          </cell>
          <cell r="I1709" t="str">
            <v>גין מהנדסים בע"מ</v>
          </cell>
          <cell r="J1709">
            <v>25</v>
          </cell>
          <cell r="K1709" t="str">
            <v>₪</v>
          </cell>
          <cell r="L1709">
            <v>25</v>
          </cell>
          <cell r="M1709" t="str">
            <v>יח'</v>
          </cell>
          <cell r="N1709">
            <v>625</v>
          </cell>
        </row>
        <row r="1710">
          <cell r="B1710" t="str">
            <v>חדר מכווץ לראש החדרה סרט</v>
          </cell>
          <cell r="C1710">
            <v>44759</v>
          </cell>
          <cell r="D1710">
            <v>1</v>
          </cell>
          <cell r="E1710" t="str">
            <v>קשיח</v>
          </cell>
          <cell r="F1710" t="str">
            <v>01.0694</v>
          </cell>
          <cell r="G1710">
            <v>46061</v>
          </cell>
          <cell r="H1710" t="str">
            <v>01.0694</v>
          </cell>
          <cell r="I1710" t="str">
            <v>לוונשטיין טכנולוגיות בע"מ</v>
          </cell>
          <cell r="J1710">
            <v>840</v>
          </cell>
          <cell r="K1710" t="str">
            <v>₪</v>
          </cell>
          <cell r="L1710">
            <v>1</v>
          </cell>
          <cell r="M1710" t="str">
            <v>יח'</v>
          </cell>
          <cell r="N1710">
            <v>840</v>
          </cell>
        </row>
        <row r="1711">
          <cell r="B1711" t="str">
            <v>חדר מכווץ לראש החדרה סרט</v>
          </cell>
          <cell r="C1711">
            <v>44759</v>
          </cell>
          <cell r="D1711">
            <v>3</v>
          </cell>
          <cell r="E1711" t="str">
            <v>קשיח</v>
          </cell>
          <cell r="F1711" t="str">
            <v>01.0694</v>
          </cell>
          <cell r="G1711">
            <v>46061</v>
          </cell>
          <cell r="H1711" t="str">
            <v>01.0694</v>
          </cell>
          <cell r="I1711" t="str">
            <v>לוונשטיין טכנולוגיות בע"מ</v>
          </cell>
          <cell r="J1711">
            <v>840</v>
          </cell>
          <cell r="K1711" t="str">
            <v>₪</v>
          </cell>
          <cell r="L1711">
            <v>1</v>
          </cell>
          <cell r="M1711" t="str">
            <v>יח'</v>
          </cell>
          <cell r="N1711">
            <v>840</v>
          </cell>
        </row>
        <row r="1712">
          <cell r="B1712" t="str">
            <v>חדר מכווץ לראש החדרה סרט 2-56</v>
          </cell>
          <cell r="C1712">
            <v>38937</v>
          </cell>
          <cell r="D1712">
            <v>1</v>
          </cell>
          <cell r="E1712" t="str">
            <v>קשיח</v>
          </cell>
          <cell r="F1712" t="str">
            <v>01.0694</v>
          </cell>
          <cell r="G1712">
            <v>45622</v>
          </cell>
          <cell r="H1712" t="str">
            <v>01.0694</v>
          </cell>
          <cell r="I1712" t="str">
            <v>לוונשטיין טכנולוגיות בע"מ</v>
          </cell>
          <cell r="J1712">
            <v>750</v>
          </cell>
          <cell r="K1712" t="str">
            <v>₪</v>
          </cell>
          <cell r="L1712">
            <v>2</v>
          </cell>
          <cell r="M1712" t="str">
            <v>יח'</v>
          </cell>
          <cell r="N1712">
            <v>1500</v>
          </cell>
        </row>
        <row r="1713">
          <cell r="B1713" t="str">
            <v>PIN ISO 8734- 2.0M6 X 6.0 MM, AISI 420, 52-57HRC OR WST-NR. 14034 OR X46C-13</v>
          </cell>
          <cell r="C1713">
            <v>38938</v>
          </cell>
          <cell r="D1713">
            <v>1</v>
          </cell>
          <cell r="E1713" t="str">
            <v>קשיח</v>
          </cell>
          <cell r="F1713" t="str">
            <v>01.0695</v>
          </cell>
          <cell r="G1713">
            <v>45622</v>
          </cell>
          <cell r="H1713" t="str">
            <v>01.0695</v>
          </cell>
          <cell r="I1713" t="str">
            <v>גין מהנדסים בע"מ</v>
          </cell>
          <cell r="J1713">
            <v>1.5</v>
          </cell>
          <cell r="K1713" t="str">
            <v>₪</v>
          </cell>
          <cell r="L1713">
            <v>130</v>
          </cell>
          <cell r="M1713" t="str">
            <v>יח'</v>
          </cell>
          <cell r="N1713">
            <v>195</v>
          </cell>
        </row>
        <row r="1714">
          <cell r="B1714" t="str">
            <v>חדר מכווץ לראש החדרה 6-32</v>
          </cell>
          <cell r="C1714">
            <v>39749</v>
          </cell>
          <cell r="D1714">
            <v>6</v>
          </cell>
          <cell r="E1714" t="str">
            <v>קשיח</v>
          </cell>
          <cell r="F1714" t="str">
            <v>01.0700</v>
          </cell>
          <cell r="G1714">
            <v>45697</v>
          </cell>
          <cell r="H1714" t="str">
            <v>01.0700</v>
          </cell>
          <cell r="I1714" t="str">
            <v>לוונשטיין טכנולוגיות בע"מ</v>
          </cell>
          <cell r="J1714">
            <v>401.8</v>
          </cell>
          <cell r="K1714" t="str">
            <v>₪</v>
          </cell>
          <cell r="L1714">
            <v>1</v>
          </cell>
          <cell r="M1714" t="str">
            <v>יח'</v>
          </cell>
          <cell r="N1714">
            <v>401.8</v>
          </cell>
        </row>
        <row r="1715">
          <cell r="B1715" t="str">
            <v>חדר מכווץ לראש החדרה 8-32</v>
          </cell>
          <cell r="C1715">
            <v>39749</v>
          </cell>
          <cell r="D1715">
            <v>8</v>
          </cell>
          <cell r="E1715" t="str">
            <v>קשיח</v>
          </cell>
          <cell r="F1715" t="str">
            <v>01.0701</v>
          </cell>
          <cell r="G1715">
            <v>45697</v>
          </cell>
          <cell r="H1715" t="str">
            <v>01.0701</v>
          </cell>
          <cell r="I1715" t="str">
            <v>לוונשטיין טכנולוגיות בע"מ</v>
          </cell>
          <cell r="J1715">
            <v>470.4</v>
          </cell>
          <cell r="K1715" t="str">
            <v>₪</v>
          </cell>
          <cell r="L1715">
            <v>1</v>
          </cell>
          <cell r="M1715" t="str">
            <v>יח'</v>
          </cell>
          <cell r="N1715">
            <v>470.4</v>
          </cell>
        </row>
        <row r="1716">
          <cell r="B1716" t="str">
            <v>kit for riv938/912 m12 kit for riv938k-kn[ms51830-110/206]</v>
          </cell>
          <cell r="C1716">
            <v>39749</v>
          </cell>
          <cell r="D1716">
            <v>31</v>
          </cell>
          <cell r="E1716" t="str">
            <v>קשיח</v>
          </cell>
          <cell r="F1716" t="str">
            <v>01.0702</v>
          </cell>
          <cell r="G1716">
            <v>45697</v>
          </cell>
          <cell r="H1716" t="str">
            <v>01.0702</v>
          </cell>
          <cell r="I1716" t="str">
            <v>לוונשטיין טכנולוגיות בע"מ</v>
          </cell>
          <cell r="J1716">
            <v>490</v>
          </cell>
          <cell r="K1716" t="str">
            <v>₪</v>
          </cell>
          <cell r="L1716">
            <v>1</v>
          </cell>
          <cell r="M1716" t="str">
            <v>יח'</v>
          </cell>
          <cell r="N1716">
            <v>490</v>
          </cell>
        </row>
        <row r="1717">
          <cell r="B1717" t="str">
            <v>מדיד GO/NO GO B3 לקינסרט תבריג פנימי 4-40</v>
          </cell>
          <cell r="C1717">
            <v>39998</v>
          </cell>
          <cell r="D1717">
            <v>1</v>
          </cell>
          <cell r="E1717" t="str">
            <v>קשיח</v>
          </cell>
          <cell r="F1717" t="str">
            <v>01.0708</v>
          </cell>
          <cell r="G1717">
            <v>45715</v>
          </cell>
          <cell r="H1717" t="str">
            <v>01.0708</v>
          </cell>
          <cell r="I1717" t="str">
            <v>גין מהנדסים בע"מ</v>
          </cell>
          <cell r="J1717">
            <v>985</v>
          </cell>
          <cell r="K1717" t="str">
            <v>₪</v>
          </cell>
          <cell r="L1717">
            <v>1</v>
          </cell>
          <cell r="M1717" t="str">
            <v>יח'</v>
          </cell>
          <cell r="N1717">
            <v>985</v>
          </cell>
        </row>
        <row r="1718">
          <cell r="B1718" t="str">
            <v>מדיד GO/NO GO B3 לקינסרט תבריג פנימי 6-32</v>
          </cell>
          <cell r="C1718">
            <v>39998</v>
          </cell>
          <cell r="D1718">
            <v>2</v>
          </cell>
          <cell r="E1718" t="str">
            <v>קשיח</v>
          </cell>
          <cell r="F1718" t="str">
            <v>01.0709</v>
          </cell>
          <cell r="G1718">
            <v>45715</v>
          </cell>
          <cell r="H1718" t="str">
            <v>01.0709</v>
          </cell>
          <cell r="I1718" t="str">
            <v>גין מהנדסים בע"מ</v>
          </cell>
          <cell r="J1718">
            <v>845</v>
          </cell>
          <cell r="K1718" t="str">
            <v>₪</v>
          </cell>
          <cell r="L1718">
            <v>1</v>
          </cell>
          <cell r="M1718" t="str">
            <v>יח'</v>
          </cell>
          <cell r="N1718">
            <v>845</v>
          </cell>
        </row>
        <row r="1719">
          <cell r="B1719" t="str">
            <v>מדיד GO/NO GO B3 לקינסרט תבריג פנימי 8-32</v>
          </cell>
          <cell r="C1719">
            <v>39998</v>
          </cell>
          <cell r="D1719">
            <v>3</v>
          </cell>
          <cell r="E1719" t="str">
            <v>קשיח</v>
          </cell>
          <cell r="F1719" t="str">
            <v>01.0710</v>
          </cell>
          <cell r="G1719">
            <v>45715</v>
          </cell>
          <cell r="H1719" t="str">
            <v>01.0710</v>
          </cell>
          <cell r="I1719" t="str">
            <v>גין מהנדסים בע"מ</v>
          </cell>
          <cell r="J1719">
            <v>845</v>
          </cell>
          <cell r="K1719" t="str">
            <v>₪</v>
          </cell>
          <cell r="L1719">
            <v>1</v>
          </cell>
          <cell r="M1719" t="str">
            <v>יח'</v>
          </cell>
          <cell r="N1719">
            <v>845</v>
          </cell>
        </row>
        <row r="1720">
          <cell r="B1720" t="str">
            <v>מדיד GO/NO GO B3 לקינסרט תבריג פנימי  10-32</v>
          </cell>
          <cell r="C1720">
            <v>39998</v>
          </cell>
          <cell r="D1720">
            <v>4</v>
          </cell>
          <cell r="E1720" t="str">
            <v>קשיח</v>
          </cell>
          <cell r="F1720" t="str">
            <v>01.0711</v>
          </cell>
          <cell r="G1720">
            <v>45715</v>
          </cell>
          <cell r="H1720" t="str">
            <v>01.0711</v>
          </cell>
          <cell r="I1720" t="str">
            <v>גין מהנדסים בע"מ</v>
          </cell>
          <cell r="J1720">
            <v>856</v>
          </cell>
          <cell r="K1720" t="str">
            <v>₪</v>
          </cell>
          <cell r="L1720">
            <v>1</v>
          </cell>
          <cell r="M1720" t="str">
            <v>יח'</v>
          </cell>
          <cell r="N1720">
            <v>856</v>
          </cell>
        </row>
        <row r="1721">
          <cell r="B1721" t="str">
            <v>מדיד GO/NO GO B3 לקינסרט תבריג פנימי 10-24</v>
          </cell>
          <cell r="C1721">
            <v>39998</v>
          </cell>
          <cell r="D1721">
            <v>5</v>
          </cell>
          <cell r="E1721" t="str">
            <v>קשיח</v>
          </cell>
          <cell r="F1721" t="str">
            <v>01.0712</v>
          </cell>
          <cell r="G1721">
            <v>45715</v>
          </cell>
          <cell r="H1721" t="str">
            <v>01.0712</v>
          </cell>
          <cell r="I1721" t="str">
            <v>גין מהנדסים בע"מ</v>
          </cell>
          <cell r="J1721">
            <v>856</v>
          </cell>
          <cell r="K1721" t="str">
            <v>₪</v>
          </cell>
          <cell r="L1721">
            <v>1</v>
          </cell>
          <cell r="M1721" t="str">
            <v>יח'</v>
          </cell>
          <cell r="N1721">
            <v>856</v>
          </cell>
        </row>
        <row r="1722">
          <cell r="B1722" t="str">
            <v>מדיד GO/NO GO B3 לקינסרט תבריג פנימי 1/4-20</v>
          </cell>
          <cell r="C1722">
            <v>39998</v>
          </cell>
          <cell r="D1722">
            <v>6</v>
          </cell>
          <cell r="E1722" t="str">
            <v>קשיח</v>
          </cell>
          <cell r="F1722" t="str">
            <v>01.0713</v>
          </cell>
          <cell r="G1722">
            <v>45715</v>
          </cell>
          <cell r="H1722" t="str">
            <v>01.0713</v>
          </cell>
          <cell r="I1722" t="str">
            <v>גין מהנדסים בע"מ</v>
          </cell>
          <cell r="J1722">
            <v>810</v>
          </cell>
          <cell r="K1722" t="str">
            <v>₪</v>
          </cell>
          <cell r="L1722">
            <v>1</v>
          </cell>
          <cell r="M1722" t="str">
            <v>יח'</v>
          </cell>
          <cell r="N1722">
            <v>810</v>
          </cell>
        </row>
        <row r="1723">
          <cell r="B1723" t="str">
            <v>מדיד GO/NO GO B3 לקינסרט תבריג פנימי  1/4-28</v>
          </cell>
          <cell r="C1723">
            <v>39998</v>
          </cell>
          <cell r="D1723">
            <v>7</v>
          </cell>
          <cell r="E1723" t="str">
            <v>קשיח</v>
          </cell>
          <cell r="F1723" t="str">
            <v>01.0714</v>
          </cell>
          <cell r="G1723">
            <v>45715</v>
          </cell>
          <cell r="H1723" t="str">
            <v>01.0714</v>
          </cell>
          <cell r="I1723" t="str">
            <v>גין מהנדסים בע"מ</v>
          </cell>
          <cell r="J1723">
            <v>810</v>
          </cell>
          <cell r="K1723" t="str">
            <v>₪</v>
          </cell>
          <cell r="L1723">
            <v>1</v>
          </cell>
          <cell r="M1723" t="str">
            <v>יח'</v>
          </cell>
          <cell r="N1723">
            <v>810</v>
          </cell>
        </row>
        <row r="1724">
          <cell r="B1724" t="str">
            <v>KNHM8X1.0 76566</v>
          </cell>
          <cell r="C1724">
            <v>40150</v>
          </cell>
          <cell r="D1724">
            <v>1</v>
          </cell>
          <cell r="E1724" t="str">
            <v>קשיח</v>
          </cell>
          <cell r="F1724" t="str">
            <v>01.0715</v>
          </cell>
          <cell r="G1724">
            <v>45728</v>
          </cell>
          <cell r="H1724" t="str">
            <v>01.0715</v>
          </cell>
          <cell r="I1724" t="str">
            <v>גין מהנדסים בע"מ</v>
          </cell>
          <cell r="J1724">
            <v>28.5</v>
          </cell>
          <cell r="K1724" t="str">
            <v>₪</v>
          </cell>
          <cell r="L1724">
            <v>12</v>
          </cell>
          <cell r="M1724" t="str">
            <v>יח'</v>
          </cell>
          <cell r="N1724">
            <v>342</v>
          </cell>
        </row>
        <row r="1725">
          <cell r="B1725" t="str">
            <v>M10*1.25 2D / 3279-210</v>
          </cell>
          <cell r="C1725">
            <v>40151</v>
          </cell>
          <cell r="D1725">
            <v>1</v>
          </cell>
          <cell r="E1725" t="str">
            <v>קשיח</v>
          </cell>
          <cell r="F1725" t="str">
            <v>01.0716</v>
          </cell>
          <cell r="G1725">
            <v>45728</v>
          </cell>
          <cell r="H1725" t="str">
            <v>01.0716</v>
          </cell>
          <cell r="I1725" t="str">
            <v>גין מהנדסים בע"מ</v>
          </cell>
          <cell r="J1725">
            <v>6</v>
          </cell>
          <cell r="K1725" t="str">
            <v>₪</v>
          </cell>
          <cell r="L1725">
            <v>62</v>
          </cell>
          <cell r="M1725" t="str">
            <v>יח'</v>
          </cell>
          <cell r="N1725">
            <v>372</v>
          </cell>
        </row>
        <row r="1726">
          <cell r="B1726" t="str">
            <v>כלי החדרה להליקיול M10*1.25</v>
          </cell>
          <cell r="C1726">
            <v>40243</v>
          </cell>
          <cell r="D1726">
            <v>1</v>
          </cell>
          <cell r="E1726" t="str">
            <v>קשיח</v>
          </cell>
          <cell r="F1726" t="str">
            <v>01.0717</v>
          </cell>
          <cell r="G1726">
            <v>45736</v>
          </cell>
          <cell r="H1726" t="str">
            <v>01.0717</v>
          </cell>
          <cell r="I1726" t="str">
            <v>לוונשטיין טכנולוגיות בע"מ</v>
          </cell>
          <cell r="J1726">
            <v>430</v>
          </cell>
          <cell r="K1726" t="str">
            <v>₪</v>
          </cell>
          <cell r="L1726">
            <v>1</v>
          </cell>
          <cell r="M1726" t="str">
            <v>יח'</v>
          </cell>
          <cell r="N1726">
            <v>430</v>
          </cell>
        </row>
        <row r="1727">
          <cell r="B1727" t="str">
            <v>MS51830-103L</v>
          </cell>
          <cell r="C1727">
            <v>41000</v>
          </cell>
          <cell r="D1727">
            <v>2</v>
          </cell>
          <cell r="E1727" t="str">
            <v>קשיח</v>
          </cell>
          <cell r="F1727" t="str">
            <v>01.0718</v>
          </cell>
          <cell r="G1727">
            <v>45804</v>
          </cell>
          <cell r="H1727" t="str">
            <v>01.0718</v>
          </cell>
          <cell r="I1727" t="str">
            <v>גין מהנדסים בע"מ</v>
          </cell>
          <cell r="J1727">
            <v>8.5</v>
          </cell>
          <cell r="K1727" t="str">
            <v>₪</v>
          </cell>
          <cell r="L1727">
            <v>100</v>
          </cell>
          <cell r="M1727" t="str">
            <v>יח'</v>
          </cell>
          <cell r="N1727">
            <v>850</v>
          </cell>
        </row>
        <row r="1728">
          <cell r="B1728" t="str">
            <v>MS51830-103L</v>
          </cell>
          <cell r="C1728">
            <v>40250</v>
          </cell>
          <cell r="D1728">
            <v>2</v>
          </cell>
          <cell r="E1728" t="str">
            <v>קשיח</v>
          </cell>
          <cell r="F1728" t="str">
            <v>01.0718</v>
          </cell>
          <cell r="G1728">
            <v>45739</v>
          </cell>
          <cell r="H1728" t="str">
            <v>01.0718</v>
          </cell>
          <cell r="I1728" t="str">
            <v>גין מהנדסים בע"מ</v>
          </cell>
          <cell r="J1728">
            <v>8.5</v>
          </cell>
          <cell r="K1728" t="str">
            <v>₪</v>
          </cell>
          <cell r="L1728">
            <v>100</v>
          </cell>
          <cell r="M1728" t="str">
            <v>יח'</v>
          </cell>
          <cell r="N1728">
            <v>850</v>
          </cell>
        </row>
        <row r="1729">
          <cell r="B1729" t="str">
            <v>MS51830-103L</v>
          </cell>
          <cell r="C1729">
            <v>40252</v>
          </cell>
          <cell r="D1729">
            <v>1</v>
          </cell>
          <cell r="E1729" t="str">
            <v>קשיח</v>
          </cell>
          <cell r="F1729" t="str">
            <v>01.0718</v>
          </cell>
          <cell r="G1729">
            <v>45739</v>
          </cell>
          <cell r="H1729" t="str">
            <v>01.0718</v>
          </cell>
          <cell r="I1729" t="str">
            <v>לוונשטיין טכנולוגיות בע"מ</v>
          </cell>
          <cell r="J1729">
            <v>0</v>
          </cell>
          <cell r="K1729" t="str">
            <v>₪</v>
          </cell>
          <cell r="M1729" t="str">
            <v>יח'</v>
          </cell>
        </row>
        <row r="1730">
          <cell r="B1730" t="str">
            <v>מברגה מתקפלת MAKITA DF012D 7.2V</v>
          </cell>
          <cell r="C1730">
            <v>42183</v>
          </cell>
          <cell r="D1730">
            <v>1</v>
          </cell>
          <cell r="E1730" t="str">
            <v>קשיח</v>
          </cell>
          <cell r="F1730" t="str">
            <v>01.0719</v>
          </cell>
          <cell r="G1730">
            <v>45921</v>
          </cell>
          <cell r="H1730" t="str">
            <v>01.0719</v>
          </cell>
          <cell r="I1730" t="str">
            <v>מאור גבריאלי הספקה ט</v>
          </cell>
          <cell r="J1730">
            <v>780</v>
          </cell>
          <cell r="K1730" t="str">
            <v>₪</v>
          </cell>
          <cell r="L1730">
            <v>1</v>
          </cell>
          <cell r="M1730" t="str">
            <v>יח'</v>
          </cell>
          <cell r="N1730">
            <v>780</v>
          </cell>
        </row>
        <row r="1731">
          <cell r="B1731" t="str">
            <v>מברגה מתקפלת MAKITA DF012D 7.2V</v>
          </cell>
          <cell r="C1731">
            <v>40272</v>
          </cell>
          <cell r="D1731">
            <v>1</v>
          </cell>
          <cell r="E1731" t="str">
            <v>קשיח</v>
          </cell>
          <cell r="F1731" t="str">
            <v>01.0719</v>
          </cell>
          <cell r="G1731">
            <v>45740</v>
          </cell>
          <cell r="H1731" t="str">
            <v>01.0719</v>
          </cell>
          <cell r="I1731" t="str">
            <v>מאור גבריאלי הספקה ט</v>
          </cell>
          <cell r="J1731">
            <v>780</v>
          </cell>
          <cell r="K1731" t="str">
            <v>₪</v>
          </cell>
          <cell r="L1731">
            <v>1</v>
          </cell>
          <cell r="M1731" t="str">
            <v>יח'</v>
          </cell>
          <cell r="N1731">
            <v>780</v>
          </cell>
        </row>
        <row r="1732">
          <cell r="B1732" t="str">
            <v>KNKDD1032J</v>
          </cell>
          <cell r="C1732">
            <v>40560</v>
          </cell>
          <cell r="D1732">
            <v>1</v>
          </cell>
          <cell r="E1732" t="str">
            <v>קשיח</v>
          </cell>
          <cell r="F1732" t="str">
            <v>01.0722</v>
          </cell>
          <cell r="G1732">
            <v>45767</v>
          </cell>
          <cell r="H1732" t="str">
            <v>01.0722</v>
          </cell>
          <cell r="I1732" t="str">
            <v>לוונשטיין טכנולוגיות בע"מ</v>
          </cell>
          <cell r="J1732">
            <v>12.4</v>
          </cell>
          <cell r="K1732" t="str">
            <v>₪</v>
          </cell>
          <cell r="L1732">
            <v>450</v>
          </cell>
          <cell r="M1732" t="str">
            <v>יח'</v>
          </cell>
          <cell r="N1732">
            <v>5580</v>
          </cell>
        </row>
        <row r="1733">
          <cell r="B1733" t="str">
            <v>SEALING ARRANGEMENT</v>
          </cell>
          <cell r="C1733">
            <v>40723</v>
          </cell>
          <cell r="D1733">
            <v>1</v>
          </cell>
          <cell r="E1733" t="str">
            <v>קשיח</v>
          </cell>
          <cell r="F1733" t="str">
            <v>01.0723</v>
          </cell>
          <cell r="G1733">
            <v>45781</v>
          </cell>
          <cell r="H1733" t="str">
            <v>01.0723</v>
          </cell>
          <cell r="I1733" t="str">
            <v>לסרי שירלי בע"מ</v>
          </cell>
          <cell r="J1733">
            <v>48</v>
          </cell>
          <cell r="K1733" t="str">
            <v>₪</v>
          </cell>
          <cell r="L1733">
            <v>80</v>
          </cell>
          <cell r="M1733" t="str">
            <v>יח'</v>
          </cell>
          <cell r="N1733">
            <v>3840</v>
          </cell>
        </row>
        <row r="1734">
          <cell r="B1734" t="str">
            <v>SEAL PLUG</v>
          </cell>
          <cell r="C1734">
            <v>40723</v>
          </cell>
          <cell r="D1734">
            <v>2</v>
          </cell>
          <cell r="E1734" t="str">
            <v>קשיח</v>
          </cell>
          <cell r="F1734" t="str">
            <v>01.0724</v>
          </cell>
          <cell r="G1734">
            <v>45781</v>
          </cell>
          <cell r="H1734" t="str">
            <v>01.0724</v>
          </cell>
          <cell r="I1734" t="str">
            <v>לסרי שירלי בע"מ</v>
          </cell>
          <cell r="J1734">
            <v>170</v>
          </cell>
          <cell r="K1734" t="str">
            <v>₪</v>
          </cell>
          <cell r="L1734">
            <v>80</v>
          </cell>
          <cell r="M1734" t="str">
            <v>יח'</v>
          </cell>
          <cell r="N1734">
            <v>13600</v>
          </cell>
        </row>
        <row r="1735">
          <cell r="B1735" t="str">
            <v>כלי החדרה לקינסרט MS51830-103</v>
          </cell>
          <cell r="C1735">
            <v>41285</v>
          </cell>
          <cell r="D1735">
            <v>2</v>
          </cell>
          <cell r="E1735" t="str">
            <v>קשיח</v>
          </cell>
          <cell r="F1735" t="str">
            <v>01.0725</v>
          </cell>
          <cell r="G1735">
            <v>45833</v>
          </cell>
          <cell r="H1735" t="str">
            <v>01.0725</v>
          </cell>
          <cell r="I1735" t="str">
            <v>גין מהנדסים בע"מ</v>
          </cell>
          <cell r="J1735">
            <v>380</v>
          </cell>
          <cell r="K1735" t="str">
            <v>₪</v>
          </cell>
          <cell r="L1735">
            <v>1</v>
          </cell>
          <cell r="M1735" t="str">
            <v>יח'</v>
          </cell>
          <cell r="N1735">
            <v>380</v>
          </cell>
        </row>
        <row r="1736">
          <cell r="B1736" t="str">
            <v>כלי החדרה לקינסרט MS51830-104</v>
          </cell>
          <cell r="C1736">
            <v>41285</v>
          </cell>
          <cell r="D1736">
            <v>3</v>
          </cell>
          <cell r="E1736" t="str">
            <v>קשיח</v>
          </cell>
          <cell r="F1736" t="str">
            <v>01.0726</v>
          </cell>
          <cell r="G1736">
            <v>45833</v>
          </cell>
          <cell r="H1736" t="str">
            <v>01.0726</v>
          </cell>
          <cell r="I1736" t="str">
            <v>גין מהנדסים בע"מ</v>
          </cell>
          <cell r="J1736">
            <v>380</v>
          </cell>
          <cell r="K1736" t="str">
            <v>₪</v>
          </cell>
          <cell r="L1736">
            <v>1</v>
          </cell>
          <cell r="M1736" t="str">
            <v>יח'</v>
          </cell>
          <cell r="N1736">
            <v>380</v>
          </cell>
        </row>
        <row r="1737">
          <cell r="B1737" t="str">
            <v>כלי להחדרת קינסרט MS51830-202</v>
          </cell>
          <cell r="C1737">
            <v>41285</v>
          </cell>
          <cell r="D1737">
            <v>5</v>
          </cell>
          <cell r="E1737" t="str">
            <v>קשיח</v>
          </cell>
          <cell r="F1737" t="str">
            <v>01.0727</v>
          </cell>
          <cell r="G1737">
            <v>45833</v>
          </cell>
          <cell r="H1737" t="str">
            <v>01.0727</v>
          </cell>
          <cell r="I1737" t="str">
            <v>גין מהנדסים בע"מ</v>
          </cell>
          <cell r="J1737">
            <v>380</v>
          </cell>
          <cell r="K1737" t="str">
            <v>₪</v>
          </cell>
          <cell r="L1737">
            <v>1</v>
          </cell>
          <cell r="M1737" t="str">
            <v>יח'</v>
          </cell>
          <cell r="N1737">
            <v>380</v>
          </cell>
        </row>
        <row r="1738">
          <cell r="B1738" t="str">
            <v>M6 X 1D Self Locking -MA3329-106</v>
          </cell>
          <cell r="C1738">
            <v>41512</v>
          </cell>
          <cell r="D1738">
            <v>2</v>
          </cell>
          <cell r="E1738" t="str">
            <v>קשיח</v>
          </cell>
          <cell r="F1738" t="str">
            <v>01.0728</v>
          </cell>
          <cell r="G1738">
            <v>45855</v>
          </cell>
          <cell r="H1738" t="str">
            <v>01.0728</v>
          </cell>
          <cell r="I1738" t="str">
            <v>דר טכנולוגיות בע"מ</v>
          </cell>
          <cell r="J1738">
            <v>0.65</v>
          </cell>
          <cell r="K1738" t="str">
            <v>₪</v>
          </cell>
          <cell r="L1738">
            <v>100</v>
          </cell>
          <cell r="M1738" t="str">
            <v>יח'</v>
          </cell>
          <cell r="N1738">
            <v>65</v>
          </cell>
        </row>
        <row r="1739">
          <cell r="B1739" t="str">
            <v>MA3279-206 /TNM6*1C-12</v>
          </cell>
          <cell r="C1739">
            <v>41513</v>
          </cell>
          <cell r="D1739">
            <v>2</v>
          </cell>
          <cell r="E1739" t="str">
            <v>קשיח</v>
          </cell>
          <cell r="F1739" t="str">
            <v>01.0729</v>
          </cell>
          <cell r="G1739">
            <v>45858</v>
          </cell>
          <cell r="H1739" t="str">
            <v>01.0729</v>
          </cell>
          <cell r="I1739" t="str">
            <v>דר טכנולוגיות בע"מ</v>
          </cell>
          <cell r="J1739">
            <v>0.65</v>
          </cell>
          <cell r="K1739" t="str">
            <v>₪</v>
          </cell>
          <cell r="L1739">
            <v>100</v>
          </cell>
          <cell r="M1739" t="str">
            <v>יח'</v>
          </cell>
          <cell r="N1739">
            <v>65</v>
          </cell>
        </row>
        <row r="1740">
          <cell r="B1740" t="str">
            <v>MA3279-111</v>
          </cell>
          <cell r="C1740">
            <v>41654</v>
          </cell>
          <cell r="D1740">
            <v>1</v>
          </cell>
          <cell r="E1740" t="str">
            <v>קשיח</v>
          </cell>
          <cell r="F1740" t="str">
            <v>01.0730</v>
          </cell>
          <cell r="G1740">
            <v>45869</v>
          </cell>
          <cell r="H1740" t="str">
            <v>01.0730</v>
          </cell>
          <cell r="I1740" t="str">
            <v>דר טכנולוגיות בע"מ</v>
          </cell>
          <cell r="J1740">
            <v>0.7</v>
          </cell>
          <cell r="K1740" t="str">
            <v>₪</v>
          </cell>
          <cell r="L1740">
            <v>100</v>
          </cell>
          <cell r="M1740" t="str">
            <v>יח'</v>
          </cell>
          <cell r="N1740">
            <v>70</v>
          </cell>
        </row>
        <row r="1741">
          <cell r="B1741" t="str">
            <v>MA3329-202/NA0276M3-20</v>
          </cell>
          <cell r="C1741">
            <v>42583</v>
          </cell>
          <cell r="D1741">
            <v>1</v>
          </cell>
          <cell r="E1741" t="str">
            <v>קשיח</v>
          </cell>
          <cell r="F1741" t="str">
            <v>01.0731</v>
          </cell>
          <cell r="G1741">
            <v>45966</v>
          </cell>
          <cell r="H1741" t="str">
            <v>01.0731</v>
          </cell>
          <cell r="I1741" t="str">
            <v>דר טכנולוגיות בע"מ</v>
          </cell>
          <cell r="J1741">
            <v>0.6</v>
          </cell>
          <cell r="K1741" t="str">
            <v>₪</v>
          </cell>
          <cell r="L1741">
            <v>1500</v>
          </cell>
          <cell r="M1741" t="str">
            <v>יח'</v>
          </cell>
          <cell r="N1741">
            <v>900</v>
          </cell>
        </row>
        <row r="1742">
          <cell r="B1742" t="str">
            <v>MA3279-151</v>
          </cell>
          <cell r="C1742">
            <v>45037</v>
          </cell>
          <cell r="D1742">
            <v>1</v>
          </cell>
          <cell r="E1742" t="str">
            <v>קשיח</v>
          </cell>
          <cell r="F1742" t="str">
            <v>01.0732</v>
          </cell>
          <cell r="G1742">
            <v>46084.436832986117</v>
          </cell>
          <cell r="H1742" t="str">
            <v>01.0732</v>
          </cell>
          <cell r="I1742" t="str">
            <v>דר טכנולוגיות בע"מ</v>
          </cell>
          <cell r="J1742">
            <v>0.55000000000000004</v>
          </cell>
          <cell r="K1742" t="str">
            <v>₪</v>
          </cell>
          <cell r="L1742">
            <v>3000</v>
          </cell>
          <cell r="M1742" t="str">
            <v>יח'</v>
          </cell>
          <cell r="N1742">
            <v>1650.0000000000002</v>
          </cell>
        </row>
        <row r="1743">
          <cell r="B1743" t="str">
            <v>MA3279-151</v>
          </cell>
          <cell r="C1743">
            <v>44630</v>
          </cell>
          <cell r="D1743">
            <v>1</v>
          </cell>
          <cell r="E1743" t="str">
            <v>קשיח</v>
          </cell>
          <cell r="F1743" t="str">
            <v>01.0732</v>
          </cell>
          <cell r="G1743">
            <v>46049</v>
          </cell>
          <cell r="H1743" t="str">
            <v>01.0732</v>
          </cell>
          <cell r="I1743" t="str">
            <v>דר טכנולוגיות בע"מ</v>
          </cell>
          <cell r="J1743">
            <v>0.55000000000000004</v>
          </cell>
          <cell r="K1743" t="str">
            <v>₪</v>
          </cell>
          <cell r="L1743">
            <v>1000</v>
          </cell>
          <cell r="M1743" t="str">
            <v>יח'</v>
          </cell>
          <cell r="N1743">
            <v>550</v>
          </cell>
        </row>
        <row r="1744">
          <cell r="B1744" t="str">
            <v>MA3279-151</v>
          </cell>
          <cell r="C1744">
            <v>44455</v>
          </cell>
          <cell r="D1744">
            <v>3</v>
          </cell>
          <cell r="E1744" t="str">
            <v>קשיח</v>
          </cell>
          <cell r="F1744" t="str">
            <v>01.0732</v>
          </cell>
          <cell r="G1744">
            <v>46037</v>
          </cell>
          <cell r="H1744" t="str">
            <v>01.0732</v>
          </cell>
          <cell r="I1744" t="str">
            <v>דר טכנולוגיות בע"מ</v>
          </cell>
          <cell r="J1744">
            <v>0.55000000000000004</v>
          </cell>
          <cell r="K1744" t="str">
            <v>₪</v>
          </cell>
          <cell r="L1744">
            <v>1000</v>
          </cell>
          <cell r="M1744" t="str">
            <v>יח'</v>
          </cell>
          <cell r="N1744">
            <v>550</v>
          </cell>
        </row>
        <row r="1745">
          <cell r="B1745" t="str">
            <v>MA3279-151</v>
          </cell>
          <cell r="C1745">
            <v>42937</v>
          </cell>
          <cell r="D1745">
            <v>1</v>
          </cell>
          <cell r="E1745" t="str">
            <v>קשיח</v>
          </cell>
          <cell r="F1745" t="str">
            <v>01.0732</v>
          </cell>
          <cell r="G1745">
            <v>45995</v>
          </cell>
          <cell r="H1745" t="str">
            <v>01.0732</v>
          </cell>
          <cell r="I1745" t="str">
            <v>דר טכנולוגיות בע"מ</v>
          </cell>
          <cell r="J1745">
            <v>0.55000000000000004</v>
          </cell>
          <cell r="K1745" t="str">
            <v>₪</v>
          </cell>
          <cell r="L1745">
            <v>1000</v>
          </cell>
          <cell r="M1745" t="str">
            <v>יח'</v>
          </cell>
          <cell r="N1745">
            <v>550</v>
          </cell>
        </row>
        <row r="1746">
          <cell r="B1746" t="str">
            <v>KEENSERT 215-066352 KNM6.0X1 75066 CLM-61-SKS 26352 76352
215-066352</v>
          </cell>
          <cell r="C1746">
            <v>44469</v>
          </cell>
          <cell r="D1746">
            <v>1</v>
          </cell>
          <cell r="E1746" t="str">
            <v>קשיח</v>
          </cell>
          <cell r="F1746" t="str">
            <v>01.0734</v>
          </cell>
          <cell r="G1746">
            <v>46040</v>
          </cell>
          <cell r="H1746" t="str">
            <v>01.0734</v>
          </cell>
          <cell r="I1746" t="str">
            <v>גין מהנדסים בע"מ</v>
          </cell>
          <cell r="J1746">
            <v>12</v>
          </cell>
          <cell r="K1746" t="str">
            <v>₪</v>
          </cell>
          <cell r="L1746">
            <v>1700</v>
          </cell>
          <cell r="M1746" t="str">
            <v>יח'</v>
          </cell>
          <cell r="N1746">
            <v>20400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7"/>
  <sheetViews>
    <sheetView tabSelected="1" workbookViewId="0">
      <selection activeCell="B11" sqref="B11"/>
    </sheetView>
  </sheetViews>
  <sheetFormatPr defaultRowHeight="14.4" x14ac:dyDescent="0.3"/>
  <cols>
    <col min="1" max="1" width="25.44140625" bestFit="1" customWidth="1"/>
    <col min="2" max="2" width="53.77734375" bestFit="1" customWidth="1"/>
    <col min="6" max="6" width="11" bestFit="1" customWidth="1"/>
    <col min="7" max="7" width="29.77734375" bestFit="1" customWidth="1"/>
    <col min="8" max="8" width="10" bestFit="1" customWidth="1"/>
  </cols>
  <sheetData>
    <row r="1" spans="1:8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2" t="s">
        <v>8</v>
      </c>
      <c r="B2" t="s">
        <v>9</v>
      </c>
      <c r="C2">
        <f>VLOOKUP(B2,[1]Sheet1!B:N,9,0)</f>
        <v>0.49890000000000001</v>
      </c>
      <c r="D2" t="str">
        <f>VLOOKUP(B2,[1]Sheet1!B:N,10,0)</f>
        <v>₪</v>
      </c>
      <c r="E2" s="3">
        <f>VLOOKUP(B2,[1]Sheet1!B:N,6,0)</f>
        <v>46065</v>
      </c>
      <c r="F2">
        <v>46</v>
      </c>
      <c r="G2" t="str">
        <f>VLOOKUP(B2,[1]Sheet1!B:N,8,0)</f>
        <v>לוונשטיין טכנולוגיות בע"מ</v>
      </c>
      <c r="H2" t="str">
        <f>VLOOKUP(B2,[1]Sheet1!B:N,5,0)</f>
        <v>01.0016</v>
      </c>
    </row>
    <row r="3" spans="1:8" x14ac:dyDescent="0.3">
      <c r="A3" s="2" t="s">
        <v>10</v>
      </c>
      <c r="B3" t="s">
        <v>11</v>
      </c>
      <c r="C3">
        <f>VLOOKUP(B3,[1]Sheet1!B:N,9,0)</f>
        <v>0.39750000000000002</v>
      </c>
      <c r="D3" t="str">
        <f>VLOOKUP(B3,[1]Sheet1!B:N,10,0)</f>
        <v>₪</v>
      </c>
      <c r="E3" s="3">
        <f>VLOOKUP(B3,[1]Sheet1!B:N,6,0)</f>
        <v>46033</v>
      </c>
      <c r="F3">
        <v>41</v>
      </c>
      <c r="G3" t="str">
        <f>VLOOKUP(B3,[1]Sheet1!B:N,8,0)</f>
        <v>דר טכנולוגיות בע"מ</v>
      </c>
      <c r="H3" t="str">
        <f>VLOOKUP(B3,[1]Sheet1!B:N,5,0)</f>
        <v>01.0026</v>
      </c>
    </row>
    <row r="4" spans="1:8" x14ac:dyDescent="0.3">
      <c r="A4" s="2" t="s">
        <v>12</v>
      </c>
      <c r="B4" t="s">
        <v>13</v>
      </c>
      <c r="C4">
        <f>VLOOKUP(B4,[1]Sheet1!B:N,9,0)</f>
        <v>0.52</v>
      </c>
      <c r="D4" t="str">
        <f>VLOOKUP(B4,[1]Sheet1!B:N,10,0)</f>
        <v>₪</v>
      </c>
      <c r="E4" s="3">
        <f>VLOOKUP(B4,[1]Sheet1!B:N,6,0)</f>
        <v>46042</v>
      </c>
      <c r="F4">
        <v>39</v>
      </c>
      <c r="G4" t="str">
        <f>VLOOKUP(B4,[1]Sheet1!B:N,8,0)</f>
        <v>לוונשטיין טכנולוגיות בע"מ</v>
      </c>
      <c r="H4" t="str">
        <f>VLOOKUP(B4,[1]Sheet1!B:N,5,0)</f>
        <v>01.0056</v>
      </c>
    </row>
    <row r="5" spans="1:8" x14ac:dyDescent="0.3">
      <c r="A5" s="2" t="s">
        <v>14</v>
      </c>
      <c r="B5" t="s">
        <v>15</v>
      </c>
      <c r="C5">
        <f>VLOOKUP(B5,[1]Sheet1!B:N,9,0)</f>
        <v>0.09</v>
      </c>
      <c r="D5" t="str">
        <f>VLOOKUP(B5,[1]Sheet1!B:N,10,0)</f>
        <v>$</v>
      </c>
      <c r="E5" s="3">
        <f>VLOOKUP(B5,[1]Sheet1!B:N,6,0)</f>
        <v>45991</v>
      </c>
      <c r="F5">
        <v>32</v>
      </c>
      <c r="G5" t="str">
        <f>VLOOKUP(B5,[1]Sheet1!B:N,8,0)</f>
        <v>דר טכנולוגיות בע"מ</v>
      </c>
      <c r="H5" t="str">
        <f>VLOOKUP(B5,[1]Sheet1!B:N,5,0)</f>
        <v>01.0017</v>
      </c>
    </row>
    <row r="6" spans="1:8" x14ac:dyDescent="0.3">
      <c r="A6" s="2" t="s">
        <v>16</v>
      </c>
      <c r="B6" t="s">
        <v>17</v>
      </c>
      <c r="C6">
        <f>VLOOKUP(B6,[1]Sheet1!B:N,9,0)</f>
        <v>0.5</v>
      </c>
      <c r="D6" t="str">
        <f>VLOOKUP(B6,[1]Sheet1!B:N,10,0)</f>
        <v>₪</v>
      </c>
      <c r="E6" s="3">
        <f>VLOOKUP(B6,[1]Sheet1!B:N,6,0)</f>
        <v>46037</v>
      </c>
      <c r="F6">
        <v>31</v>
      </c>
      <c r="G6" t="str">
        <f>VLOOKUP(B6,[1]Sheet1!B:N,8,0)</f>
        <v>דר טכנולוגיות בע"מ</v>
      </c>
      <c r="H6" t="str">
        <f>VLOOKUP(B6,[1]Sheet1!B:N,5,0)</f>
        <v>01.0055</v>
      </c>
    </row>
    <row r="7" spans="1:8" x14ac:dyDescent="0.3">
      <c r="A7" s="2" t="s">
        <v>18</v>
      </c>
      <c r="B7" t="s">
        <v>19</v>
      </c>
      <c r="C7">
        <f>VLOOKUP(B7,[1]Sheet1!B:N,9,0)</f>
        <v>0.38</v>
      </c>
      <c r="D7" t="str">
        <f>VLOOKUP(B7,[1]Sheet1!B:N,10,0)</f>
        <v>₪</v>
      </c>
      <c r="E7" s="3">
        <f>VLOOKUP(B7,[1]Sheet1!B:N,6,0)</f>
        <v>46054</v>
      </c>
      <c r="F7">
        <v>29</v>
      </c>
      <c r="G7" t="str">
        <f>VLOOKUP(B7,[1]Sheet1!B:N,8,0)</f>
        <v>גין מהנדסים בע"מ</v>
      </c>
      <c r="H7" t="str">
        <f>VLOOKUP(B7,[1]Sheet1!B:N,5,0)</f>
        <v>01.0023</v>
      </c>
    </row>
    <row r="8" spans="1:8" x14ac:dyDescent="0.3">
      <c r="A8" s="2" t="s">
        <v>20</v>
      </c>
      <c r="B8" t="s">
        <v>21</v>
      </c>
      <c r="C8">
        <f>VLOOKUP(B8,[1]Sheet1!B:N,9,0)</f>
        <v>6.3</v>
      </c>
      <c r="D8" t="str">
        <f>VLOOKUP(B8,[1]Sheet1!B:N,10,0)</f>
        <v>₪</v>
      </c>
      <c r="E8" s="3">
        <f>VLOOKUP(B8,[1]Sheet1!B:N,6,0)</f>
        <v>45917</v>
      </c>
      <c r="F8">
        <v>29</v>
      </c>
      <c r="G8" t="str">
        <f>VLOOKUP(B8,[1]Sheet1!B:N,8,0)</f>
        <v>דר טכנולוגיות בע"מ</v>
      </c>
      <c r="H8" t="str">
        <f>VLOOKUP(B8,[1]Sheet1!B:N,5,0)</f>
        <v>01.0004</v>
      </c>
    </row>
    <row r="9" spans="1:8" x14ac:dyDescent="0.3">
      <c r="A9" s="2" t="s">
        <v>22</v>
      </c>
      <c r="B9" t="s">
        <v>23</v>
      </c>
      <c r="C9">
        <f>VLOOKUP(B9,[1]Sheet1!B:N,9,0)</f>
        <v>5.7</v>
      </c>
      <c r="D9" t="str">
        <f>VLOOKUP(B9,[1]Sheet1!B:N,10,0)</f>
        <v>₪</v>
      </c>
      <c r="E9" s="3">
        <f>VLOOKUP(B9,[1]Sheet1!B:N,6,0)</f>
        <v>46064</v>
      </c>
      <c r="F9">
        <v>28</v>
      </c>
      <c r="G9" t="str">
        <f>VLOOKUP(B9,[1]Sheet1!B:N,8,0)</f>
        <v>דר טכנולוגיות בע"מ</v>
      </c>
      <c r="H9" t="str">
        <f>VLOOKUP(B9,[1]Sheet1!B:N,5,0)</f>
        <v>01.0010</v>
      </c>
    </row>
    <row r="10" spans="1:8" x14ac:dyDescent="0.3">
      <c r="A10" s="2" t="s">
        <v>24</v>
      </c>
      <c r="B10" t="s">
        <v>25</v>
      </c>
      <c r="C10">
        <f>VLOOKUP(B10,[1]Sheet1!B:N,9,0)</f>
        <v>10.96</v>
      </c>
      <c r="D10" t="str">
        <f>VLOOKUP(B10,[1]Sheet1!B:N,10,0)</f>
        <v>₪</v>
      </c>
      <c r="E10" s="3">
        <f>VLOOKUP(B10,[1]Sheet1!B:N,6,0)</f>
        <v>45881</v>
      </c>
      <c r="F10">
        <v>26</v>
      </c>
      <c r="G10" t="str">
        <f>VLOOKUP(B10,[1]Sheet1!B:N,8,0)</f>
        <v>גין מהנדסים בע"מ</v>
      </c>
      <c r="H10" t="str">
        <f>VLOOKUP(B10,[1]Sheet1!B:N,5,0)</f>
        <v>01.0220</v>
      </c>
    </row>
    <row r="11" spans="1:8" x14ac:dyDescent="0.3">
      <c r="A11" s="2" t="s">
        <v>26</v>
      </c>
      <c r="B11" t="s">
        <v>27</v>
      </c>
      <c r="C11">
        <f>VLOOKUP(B11,[1]Sheet1!B:N,9,0)</f>
        <v>0.5</v>
      </c>
      <c r="D11" t="str">
        <f>VLOOKUP(B11,[1]Sheet1!B:N,10,0)</f>
        <v>₪</v>
      </c>
      <c r="E11" s="3">
        <f>VLOOKUP(B11,[1]Sheet1!B:N,6,0)</f>
        <v>46064</v>
      </c>
      <c r="F11">
        <v>26</v>
      </c>
      <c r="G11" t="str">
        <f>VLOOKUP(B11,[1]Sheet1!B:N,8,0)</f>
        <v>לוונשטיין טכנולוגיות בע"מ</v>
      </c>
      <c r="H11" t="str">
        <f>VLOOKUP(B11,[1]Sheet1!B:N,5,0)</f>
        <v>01.0008</v>
      </c>
    </row>
    <row r="12" spans="1:8" x14ac:dyDescent="0.3">
      <c r="A12" s="2" t="s">
        <v>28</v>
      </c>
      <c r="B12" t="s">
        <v>29</v>
      </c>
      <c r="C12">
        <f>VLOOKUP(B12,[1]Sheet1!B:N,9,0)</f>
        <v>0.6986</v>
      </c>
      <c r="D12" t="str">
        <f>VLOOKUP(B12,[1]Sheet1!B:N,10,0)</f>
        <v>₪</v>
      </c>
      <c r="E12" s="3">
        <f>VLOOKUP(B12,[1]Sheet1!B:N,6,0)</f>
        <v>46065</v>
      </c>
      <c r="F12">
        <v>25</v>
      </c>
      <c r="G12" t="str">
        <f>VLOOKUP(B12,[1]Sheet1!B:N,8,0)</f>
        <v>לוונשטיין טכנולוגיות בע"מ</v>
      </c>
      <c r="H12" t="str">
        <f>VLOOKUP(B12,[1]Sheet1!B:N,5,0)</f>
        <v>01.0001</v>
      </c>
    </row>
    <row r="13" spans="1:8" x14ac:dyDescent="0.3">
      <c r="A13" s="2" t="s">
        <v>30</v>
      </c>
      <c r="B13" t="s">
        <v>31</v>
      </c>
      <c r="C13">
        <f>VLOOKUP(B13,[1]Sheet1!B:N,9,0)</f>
        <v>0.49980000000000002</v>
      </c>
      <c r="D13" t="str">
        <f>VLOOKUP(B13,[1]Sheet1!B:N,10,0)</f>
        <v>₪</v>
      </c>
      <c r="E13" s="3">
        <f>VLOOKUP(B13,[1]Sheet1!B:N,6,0)</f>
        <v>45999</v>
      </c>
      <c r="F13">
        <v>21</v>
      </c>
      <c r="G13" t="str">
        <f>VLOOKUP(B13,[1]Sheet1!B:N,8,0)</f>
        <v>דר טכנולוגיות בע"מ</v>
      </c>
      <c r="H13" t="str">
        <f>VLOOKUP(B13,[1]Sheet1!B:N,5,0)</f>
        <v>01.0057</v>
      </c>
    </row>
    <row r="14" spans="1:8" x14ac:dyDescent="0.3">
      <c r="A14" s="2" t="s">
        <v>32</v>
      </c>
      <c r="B14" t="s">
        <v>33</v>
      </c>
      <c r="C14">
        <f>VLOOKUP(B14,[1]Sheet1!B:N,9,0)</f>
        <v>0.6</v>
      </c>
      <c r="D14" t="str">
        <f>VLOOKUP(B14,[1]Sheet1!B:N,10,0)</f>
        <v>₪</v>
      </c>
      <c r="E14" s="3">
        <f>VLOOKUP(B14,[1]Sheet1!B:N,6,0)</f>
        <v>45862</v>
      </c>
      <c r="F14">
        <v>21</v>
      </c>
      <c r="G14" t="str">
        <f>VLOOKUP(B14,[1]Sheet1!B:N,8,0)</f>
        <v>לוונשטיין טכנולוגיות בע"מ</v>
      </c>
      <c r="H14" t="str">
        <f>VLOOKUP(B14,[1]Sheet1!B:N,5,0)</f>
        <v>01.0068</v>
      </c>
    </row>
    <row r="15" spans="1:8" x14ac:dyDescent="0.3">
      <c r="A15" s="2" t="s">
        <v>34</v>
      </c>
      <c r="B15" t="s">
        <v>35</v>
      </c>
      <c r="C15">
        <f>VLOOKUP(B15,[1]Sheet1!B:N,9,0)</f>
        <v>0.46</v>
      </c>
      <c r="D15" t="str">
        <f>VLOOKUP(B15,[1]Sheet1!B:N,10,0)</f>
        <v>₪</v>
      </c>
      <c r="E15" s="3">
        <f>VLOOKUP(B15,[1]Sheet1!B:N,6,0)</f>
        <v>46049</v>
      </c>
      <c r="F15">
        <v>20</v>
      </c>
      <c r="G15" t="str">
        <f>VLOOKUP(B15,[1]Sheet1!B:N,8,0)</f>
        <v>דר טכנולוגיות בע"מ</v>
      </c>
      <c r="H15" t="str">
        <f>VLOOKUP(B15,[1]Sheet1!B:N,5,0)</f>
        <v>01.0020</v>
      </c>
    </row>
    <row r="16" spans="1:8" x14ac:dyDescent="0.3">
      <c r="A16" s="2" t="s">
        <v>36</v>
      </c>
      <c r="B16" t="s">
        <v>37</v>
      </c>
      <c r="C16">
        <f>VLOOKUP(B16,[1]Sheet1!B:N,9,0)</f>
        <v>0.4</v>
      </c>
      <c r="D16" t="str">
        <f>VLOOKUP(B16,[1]Sheet1!B:N,10,0)</f>
        <v>₪</v>
      </c>
      <c r="E16" s="3">
        <f>VLOOKUP(B16,[1]Sheet1!B:N,6,0)</f>
        <v>45838</v>
      </c>
      <c r="F16">
        <v>19</v>
      </c>
      <c r="G16" t="str">
        <f>VLOOKUP(B16,[1]Sheet1!B:N,8,0)</f>
        <v>דר טכנולוגיות בע"מ</v>
      </c>
      <c r="H16" t="str">
        <f>VLOOKUP(B16,[1]Sheet1!B:N,5,0)</f>
        <v>01.0002</v>
      </c>
    </row>
    <row r="17" spans="1:8" x14ac:dyDescent="0.3">
      <c r="A17" s="2" t="s">
        <v>38</v>
      </c>
      <c r="B17" t="s">
        <v>39</v>
      </c>
      <c r="C17">
        <f>VLOOKUP(B17,[1]Sheet1!B:N,9,0)</f>
        <v>0.42</v>
      </c>
      <c r="D17" t="str">
        <f>VLOOKUP(B17,[1]Sheet1!B:N,10,0)</f>
        <v>₪</v>
      </c>
      <c r="E17" s="3">
        <f>VLOOKUP(B17,[1]Sheet1!B:N,6,0)</f>
        <v>46068</v>
      </c>
      <c r="F17">
        <v>19</v>
      </c>
      <c r="G17" t="str">
        <f>VLOOKUP(B17,[1]Sheet1!B:N,8,0)</f>
        <v>דר טכנולוגיות בע"מ</v>
      </c>
      <c r="H17" t="str">
        <f>VLOOKUP(B17,[1]Sheet1!B:N,5,0)</f>
        <v>01.0107</v>
      </c>
    </row>
    <row r="18" spans="1:8" x14ac:dyDescent="0.3">
      <c r="A18" s="2"/>
      <c r="B18" t="s">
        <v>40</v>
      </c>
      <c r="C18">
        <f>VLOOKUP(B18,[1]Sheet1!B:N,9,0)</f>
        <v>0.47989999999999999</v>
      </c>
      <c r="D18" t="str">
        <f>VLOOKUP(B18,[1]Sheet1!B:N,10,0)</f>
        <v>₪</v>
      </c>
      <c r="E18" s="3">
        <f>VLOOKUP(B18,[1]Sheet1!B:N,6,0)</f>
        <v>46012</v>
      </c>
      <c r="F18">
        <v>18</v>
      </c>
      <c r="G18" t="str">
        <f>VLOOKUP(B18,[1]Sheet1!B:N,8,0)</f>
        <v>דר טכנולוגיות בע"מ</v>
      </c>
      <c r="H18" t="str">
        <f>VLOOKUP(B18,[1]Sheet1!B:N,5,0)</f>
        <v>01.0039</v>
      </c>
    </row>
    <row r="19" spans="1:8" x14ac:dyDescent="0.3">
      <c r="A19" s="2" t="s">
        <v>41</v>
      </c>
      <c r="B19" t="s">
        <v>42</v>
      </c>
      <c r="C19">
        <f>VLOOKUP(B19,[1]Sheet1!B:N,9,0)</f>
        <v>0.45</v>
      </c>
      <c r="D19" t="str">
        <f>VLOOKUP(B19,[1]Sheet1!B:N,10,0)</f>
        <v>₪</v>
      </c>
      <c r="E19" s="3">
        <f>VLOOKUP(B19,[1]Sheet1!B:N,6,0)</f>
        <v>45739</v>
      </c>
      <c r="F19">
        <v>18</v>
      </c>
      <c r="G19" t="str">
        <f>VLOOKUP(B19,[1]Sheet1!B:N,8,0)</f>
        <v>דר טכנולוגיות בע"מ</v>
      </c>
      <c r="H19" t="str">
        <f>VLOOKUP(B19,[1]Sheet1!B:N,5,0)</f>
        <v>01.0041</v>
      </c>
    </row>
    <row r="20" spans="1:8" x14ac:dyDescent="0.3">
      <c r="A20" s="2" t="s">
        <v>43</v>
      </c>
      <c r="B20" t="s">
        <v>44</v>
      </c>
      <c r="C20">
        <f>VLOOKUP(B20,[1]Sheet1!B:N,9,0)</f>
        <v>5.4</v>
      </c>
      <c r="D20" t="str">
        <f>VLOOKUP(B20,[1]Sheet1!B:N,10,0)</f>
        <v>₪</v>
      </c>
      <c r="E20" s="3">
        <f>VLOOKUP(B20,[1]Sheet1!B:N,6,0)</f>
        <v>46064</v>
      </c>
      <c r="F20">
        <v>16</v>
      </c>
      <c r="G20" t="str">
        <f>VLOOKUP(B20,[1]Sheet1!B:N,8,0)</f>
        <v>ברמיל בע"מ</v>
      </c>
      <c r="H20" t="str">
        <f>VLOOKUP(B20,[1]Sheet1!B:N,5,0)</f>
        <v>01.0004</v>
      </c>
    </row>
    <row r="21" spans="1:8" x14ac:dyDescent="0.3">
      <c r="A21" s="2" t="s">
        <v>45</v>
      </c>
      <c r="B21" t="s">
        <v>46</v>
      </c>
      <c r="C21">
        <f>VLOOKUP(B21,[1]Sheet1!B:N,9,0)</f>
        <v>6.4</v>
      </c>
      <c r="D21" t="str">
        <f>VLOOKUP(B21,[1]Sheet1!B:N,10,0)</f>
        <v>₪</v>
      </c>
      <c r="E21" s="3">
        <f>VLOOKUP(B21,[1]Sheet1!B:N,6,0)</f>
        <v>46037</v>
      </c>
      <c r="F21">
        <v>16</v>
      </c>
      <c r="G21" t="str">
        <f>VLOOKUP(B21,[1]Sheet1!B:N,8,0)</f>
        <v>גין מהנדסים בע"מ</v>
      </c>
      <c r="H21" t="str">
        <f>VLOOKUP(B21,[1]Sheet1!B:N,5,0)</f>
        <v>01.0012</v>
      </c>
    </row>
    <row r="22" spans="1:8" x14ac:dyDescent="0.3">
      <c r="A22" s="2" t="s">
        <v>47</v>
      </c>
      <c r="B22" t="s">
        <v>27</v>
      </c>
      <c r="C22">
        <f>VLOOKUP(B22,[1]Sheet1!B:N,9,0)</f>
        <v>0.5</v>
      </c>
      <c r="D22" t="str">
        <f>VLOOKUP(B22,[1]Sheet1!B:N,10,0)</f>
        <v>₪</v>
      </c>
      <c r="E22" s="3">
        <f>VLOOKUP(B22,[1]Sheet1!B:N,6,0)</f>
        <v>46064</v>
      </c>
      <c r="F22">
        <v>14</v>
      </c>
      <c r="G22" t="str">
        <f>VLOOKUP(B22,[1]Sheet1!B:N,8,0)</f>
        <v>לוונשטיין טכנולוגיות בע"מ</v>
      </c>
      <c r="H22" t="str">
        <f>VLOOKUP(B22,[1]Sheet1!B:N,5,0)</f>
        <v>01.0008</v>
      </c>
    </row>
    <row r="23" spans="1:8" x14ac:dyDescent="0.3">
      <c r="A23" s="2" t="s">
        <v>48</v>
      </c>
      <c r="B23" t="s">
        <v>49</v>
      </c>
      <c r="C23">
        <f>VLOOKUP(B23,[1]Sheet1!B:N,9,0)</f>
        <v>7.9</v>
      </c>
      <c r="D23" t="str">
        <f>VLOOKUP(B23,[1]Sheet1!B:N,10,0)</f>
        <v>₪</v>
      </c>
      <c r="E23" s="3">
        <f>VLOOKUP(B23,[1]Sheet1!B:N,6,0)</f>
        <v>46082.355124918984</v>
      </c>
      <c r="F23">
        <v>14</v>
      </c>
      <c r="G23" t="str">
        <f>VLOOKUP(B23,[1]Sheet1!B:N,8,0)</f>
        <v>גין מהנדסים בע"מ</v>
      </c>
      <c r="H23" t="str">
        <f>VLOOKUP(B23,[1]Sheet1!B:N,5,0)</f>
        <v>01.0535</v>
      </c>
    </row>
    <row r="24" spans="1:8" x14ac:dyDescent="0.3">
      <c r="A24" s="2" t="s">
        <v>50</v>
      </c>
      <c r="B24" t="s">
        <v>51</v>
      </c>
      <c r="C24">
        <f>VLOOKUP(B24,[1]Sheet1!B:N,9,0)</f>
        <v>6.7</v>
      </c>
      <c r="D24" t="str">
        <f>VLOOKUP(B24,[1]Sheet1!B:N,10,0)</f>
        <v>₪</v>
      </c>
      <c r="E24" s="3">
        <f>VLOOKUP(B24,[1]Sheet1!B:N,6,0)</f>
        <v>46013</v>
      </c>
      <c r="F24">
        <v>14</v>
      </c>
      <c r="G24" t="str">
        <f>VLOOKUP(B24,[1]Sheet1!B:N,8,0)</f>
        <v>גין מהנדסים בע"מ</v>
      </c>
      <c r="H24" t="str">
        <f>VLOOKUP(B24,[1]Sheet1!B:N,5,0)</f>
        <v>01.0003</v>
      </c>
    </row>
    <row r="25" spans="1:8" x14ac:dyDescent="0.3">
      <c r="A25" s="2" t="s">
        <v>47</v>
      </c>
      <c r="B25" t="s">
        <v>52</v>
      </c>
      <c r="C25">
        <f>VLOOKUP(B25,[1]Sheet1!B:N,9,0)</f>
        <v>0.42</v>
      </c>
      <c r="D25" t="str">
        <f>VLOOKUP(B25,[1]Sheet1!B:N,10,0)</f>
        <v>₪</v>
      </c>
      <c r="E25" s="3">
        <f>VLOOKUP(B25,[1]Sheet1!B:N,6,0)</f>
        <v>45984</v>
      </c>
      <c r="F25">
        <v>12</v>
      </c>
      <c r="G25" t="str">
        <f>VLOOKUP(B25,[1]Sheet1!B:N,8,0)</f>
        <v>דר טכנולוגיות בע"מ</v>
      </c>
      <c r="H25" t="str">
        <f>VLOOKUP(B25,[1]Sheet1!B:N,5,0)</f>
        <v>01.0008</v>
      </c>
    </row>
    <row r="26" spans="1:8" x14ac:dyDescent="0.3">
      <c r="A26" s="2" t="s">
        <v>47</v>
      </c>
      <c r="B26" t="s">
        <v>53</v>
      </c>
      <c r="C26">
        <f>VLOOKUP(B26,[1]Sheet1!B:N,9,0)</f>
        <v>0.53</v>
      </c>
      <c r="D26" t="str">
        <f>VLOOKUP(B26,[1]Sheet1!B:N,10,0)</f>
        <v>₪</v>
      </c>
      <c r="E26" s="3">
        <f>VLOOKUP(B26,[1]Sheet1!B:N,6,0)</f>
        <v>45089</v>
      </c>
      <c r="F26">
        <v>12</v>
      </c>
      <c r="G26" t="str">
        <f>VLOOKUP(B26,[1]Sheet1!B:N,8,0)</f>
        <v>לוונשטיין טכנולוגיות בע"מ</v>
      </c>
      <c r="H26" t="str">
        <f>VLOOKUP(B26,[1]Sheet1!B:N,5,0)</f>
        <v>01.0008</v>
      </c>
    </row>
    <row r="27" spans="1:8" x14ac:dyDescent="0.3">
      <c r="A27" s="2" t="s">
        <v>54</v>
      </c>
      <c r="B27" t="s">
        <v>55</v>
      </c>
      <c r="C27">
        <f>VLOOKUP(B27,[1]Sheet1!B:N,9,0)</f>
        <v>0.68</v>
      </c>
      <c r="D27" t="str">
        <f>VLOOKUP(B27,[1]Sheet1!B:N,10,0)</f>
        <v>₪</v>
      </c>
      <c r="E27" s="3">
        <f>VLOOKUP(B27,[1]Sheet1!B:N,6,0)</f>
        <v>45414</v>
      </c>
      <c r="F27">
        <v>12</v>
      </c>
      <c r="G27" t="str">
        <f>VLOOKUP(B27,[1]Sheet1!B:N,8,0)</f>
        <v>לוונשטיין טכנולוגיות בע"מ</v>
      </c>
      <c r="H27" t="str">
        <f>VLOOKUP(B27,[1]Sheet1!B:N,5,0)</f>
        <v>01.0158</v>
      </c>
    </row>
    <row r="28" spans="1:8" x14ac:dyDescent="0.3">
      <c r="A28" s="2" t="s">
        <v>56</v>
      </c>
      <c r="B28" t="s">
        <v>57</v>
      </c>
      <c r="C28">
        <f>VLOOKUP(B28,[1]Sheet1!B:N,9,0)</f>
        <v>6.2</v>
      </c>
      <c r="D28" t="str">
        <f>VLOOKUP(B28,[1]Sheet1!B:N,10,0)</f>
        <v>₪</v>
      </c>
      <c r="E28" s="3">
        <f>VLOOKUP(B28,[1]Sheet1!B:N,6,0)</f>
        <v>46049</v>
      </c>
      <c r="F28">
        <v>12</v>
      </c>
      <c r="G28" t="str">
        <f>VLOOKUP(B28,[1]Sheet1!B:N,8,0)</f>
        <v>גין מהנדסים בע"מ</v>
      </c>
      <c r="H28" t="str">
        <f>VLOOKUP(B28,[1]Sheet1!B:N,5,0)</f>
        <v>01.0013</v>
      </c>
    </row>
    <row r="29" spans="1:8" x14ac:dyDescent="0.3">
      <c r="A29" s="2"/>
      <c r="B29" t="s">
        <v>58</v>
      </c>
      <c r="C29">
        <f>VLOOKUP(B29,[1]Sheet1!B:N,9,0)</f>
        <v>220</v>
      </c>
      <c r="D29" t="str">
        <f>VLOOKUP(B29,[1]Sheet1!B:N,10,0)</f>
        <v>₪</v>
      </c>
      <c r="E29" s="3">
        <f>VLOOKUP(B29,[1]Sheet1!B:N,6,0)</f>
        <v>45874</v>
      </c>
      <c r="F29">
        <v>11</v>
      </c>
      <c r="G29" t="str">
        <f>VLOOKUP(B29,[1]Sheet1!B:N,8,0)</f>
        <v>מאור גבריאלי הספקה ט</v>
      </c>
      <c r="H29" t="str">
        <f>VLOOKUP(B29,[1]Sheet1!B:N,5,0)</f>
        <v>01.0238</v>
      </c>
    </row>
    <row r="30" spans="1:8" x14ac:dyDescent="0.3">
      <c r="A30" s="2"/>
      <c r="B30" t="s">
        <v>59</v>
      </c>
      <c r="C30">
        <f>VLOOKUP(B30,[1]Sheet1!B:N,9,0)</f>
        <v>0.6</v>
      </c>
      <c r="D30" t="str">
        <f>VLOOKUP(B30,[1]Sheet1!B:N,10,0)</f>
        <v>₪</v>
      </c>
      <c r="E30" s="3">
        <f>VLOOKUP(B30,[1]Sheet1!B:N,6,0)</f>
        <v>45865</v>
      </c>
      <c r="F30">
        <v>11</v>
      </c>
      <c r="G30" t="str">
        <f>VLOOKUP(B30,[1]Sheet1!B:N,8,0)</f>
        <v>דר טכנולוגיות בע"מ</v>
      </c>
      <c r="H30" t="str">
        <f>VLOOKUP(B30,[1]Sheet1!B:N,5,0)</f>
        <v>01.0191</v>
      </c>
    </row>
    <row r="31" spans="1:8" x14ac:dyDescent="0.3">
      <c r="A31" s="2" t="s">
        <v>60</v>
      </c>
      <c r="B31" t="s">
        <v>61</v>
      </c>
      <c r="C31">
        <f>VLOOKUP(B31,[1]Sheet1!B:N,9,0)</f>
        <v>0.46</v>
      </c>
      <c r="D31" t="str">
        <f>VLOOKUP(B31,[1]Sheet1!B:N,10,0)</f>
        <v>₪</v>
      </c>
      <c r="E31" s="3">
        <f>VLOOKUP(B31,[1]Sheet1!B:N,6,0)</f>
        <v>45972</v>
      </c>
      <c r="F31">
        <v>11</v>
      </c>
      <c r="G31" t="str">
        <f>VLOOKUP(B31,[1]Sheet1!B:N,8,0)</f>
        <v>דר טכנולוגיות בע"מ</v>
      </c>
      <c r="H31" t="str">
        <f>VLOOKUP(B31,[1]Sheet1!B:N,5,0)</f>
        <v>01.0094</v>
      </c>
    </row>
    <row r="32" spans="1:8" x14ac:dyDescent="0.3">
      <c r="A32" s="2" t="s">
        <v>45</v>
      </c>
      <c r="B32" t="s">
        <v>62</v>
      </c>
      <c r="C32">
        <f>VLOOKUP(B32,[1]Sheet1!B:N,9,0)</f>
        <v>6.4</v>
      </c>
      <c r="D32" t="str">
        <f>VLOOKUP(B32,[1]Sheet1!B:N,10,0)</f>
        <v>₪</v>
      </c>
      <c r="E32" s="3">
        <f>VLOOKUP(B32,[1]Sheet1!B:N,6,0)</f>
        <v>46049</v>
      </c>
      <c r="F32">
        <v>11</v>
      </c>
      <c r="G32" t="str">
        <f>VLOOKUP(B32,[1]Sheet1!B:N,8,0)</f>
        <v>דר טכנולוגיות בע"מ</v>
      </c>
      <c r="H32" t="str">
        <f>VLOOKUP(B32,[1]Sheet1!B:N,5,0)</f>
        <v>01.0012</v>
      </c>
    </row>
    <row r="33" spans="1:8" x14ac:dyDescent="0.3">
      <c r="A33" s="2"/>
      <c r="B33" t="s">
        <v>63</v>
      </c>
      <c r="C33">
        <f>VLOOKUP(B33,[1]Sheet1!B:N,9,0)</f>
        <v>1</v>
      </c>
      <c r="D33" t="str">
        <f>VLOOKUP(B33,[1]Sheet1!B:N,10,0)</f>
        <v>₪</v>
      </c>
      <c r="E33" s="3">
        <f>VLOOKUP(B33,[1]Sheet1!B:N,6,0)</f>
        <v>45511</v>
      </c>
      <c r="F33">
        <v>10</v>
      </c>
      <c r="G33" t="str">
        <f>VLOOKUP(B33,[1]Sheet1!B:N,8,0)</f>
        <v>לוונשטיין טכנולוגיות בע"מ</v>
      </c>
      <c r="H33" t="str">
        <f>VLOOKUP(B33,[1]Sheet1!B:N,5,0)</f>
        <v>01.0046</v>
      </c>
    </row>
    <row r="34" spans="1:8" x14ac:dyDescent="0.3">
      <c r="A34" s="2"/>
      <c r="B34" t="s">
        <v>64</v>
      </c>
      <c r="C34">
        <f>VLOOKUP(B34,[1]Sheet1!B:N,9,0)</f>
        <v>0.5</v>
      </c>
      <c r="D34" t="str">
        <f>VLOOKUP(B34,[1]Sheet1!B:N,10,0)</f>
        <v>₪</v>
      </c>
      <c r="E34" s="3">
        <f>VLOOKUP(B34,[1]Sheet1!B:N,6,0)</f>
        <v>45992</v>
      </c>
      <c r="F34">
        <v>10</v>
      </c>
      <c r="G34" t="str">
        <f>VLOOKUP(B34,[1]Sheet1!B:N,8,0)</f>
        <v>דר טכנולוגיות בע"מ</v>
      </c>
      <c r="H34" t="str">
        <f>VLOOKUP(B34,[1]Sheet1!B:N,5,0)</f>
        <v>01.0335</v>
      </c>
    </row>
    <row r="35" spans="1:8" x14ac:dyDescent="0.3">
      <c r="A35" s="2"/>
      <c r="B35" t="s">
        <v>65</v>
      </c>
      <c r="C35">
        <f>VLOOKUP(B35,[1]Sheet1!B:N,9,0)</f>
        <v>0.9</v>
      </c>
      <c r="D35" t="str">
        <f>VLOOKUP(B35,[1]Sheet1!B:N,10,0)</f>
        <v>₪</v>
      </c>
      <c r="E35" s="3">
        <f>VLOOKUP(B35,[1]Sheet1!B:N,6,0)</f>
        <v>46049</v>
      </c>
      <c r="F35">
        <v>10</v>
      </c>
      <c r="G35" t="str">
        <f>VLOOKUP(B35,[1]Sheet1!B:N,8,0)</f>
        <v>דר טכנולוגיות בע"מ</v>
      </c>
      <c r="H35" t="str">
        <f>VLOOKUP(B35,[1]Sheet1!B:N,5,0)</f>
        <v>01.0264</v>
      </c>
    </row>
    <row r="36" spans="1:8" x14ac:dyDescent="0.3">
      <c r="A36" s="2"/>
      <c r="B36" t="s">
        <v>66</v>
      </c>
      <c r="C36">
        <f>VLOOKUP(B36,[1]Sheet1!B:N,9,0)</f>
        <v>0.57999999999999996</v>
      </c>
      <c r="D36" t="str">
        <f>VLOOKUP(B36,[1]Sheet1!B:N,10,0)</f>
        <v>₪</v>
      </c>
      <c r="E36" s="3">
        <f>VLOOKUP(B36,[1]Sheet1!B:N,6,0)</f>
        <v>45662</v>
      </c>
      <c r="F36">
        <v>10</v>
      </c>
      <c r="G36" t="str">
        <f>VLOOKUP(B36,[1]Sheet1!B:N,8,0)</f>
        <v>לוונשטיין טכנולוגיות בע"מ</v>
      </c>
      <c r="H36" t="str">
        <f>VLOOKUP(B36,[1]Sheet1!B:N,5,0)</f>
        <v>01.0148</v>
      </c>
    </row>
    <row r="37" spans="1:8" x14ac:dyDescent="0.3">
      <c r="A37" s="2" t="s">
        <v>67</v>
      </c>
      <c r="B37" t="s">
        <v>68</v>
      </c>
      <c r="C37">
        <f>VLOOKUP(B37,[1]Sheet1!B:N,9,0)</f>
        <v>0.7</v>
      </c>
      <c r="D37" t="str">
        <f>VLOOKUP(B37,[1]Sheet1!B:N,10,0)</f>
        <v>₪</v>
      </c>
      <c r="E37" s="3">
        <f>VLOOKUP(B37,[1]Sheet1!B:N,6,0)</f>
        <v>45958</v>
      </c>
      <c r="F37">
        <v>10</v>
      </c>
      <c r="G37" t="str">
        <f>VLOOKUP(B37,[1]Sheet1!B:N,8,0)</f>
        <v>לוונשטיין טכנולוגיות בע"מ</v>
      </c>
      <c r="H37" t="str">
        <f>VLOOKUP(B37,[1]Sheet1!B:N,5,0)</f>
        <v>01.0356</v>
      </c>
    </row>
    <row r="38" spans="1:8" x14ac:dyDescent="0.3">
      <c r="A38" s="2" t="s">
        <v>50</v>
      </c>
      <c r="B38" t="s">
        <v>69</v>
      </c>
      <c r="C38">
        <f>VLOOKUP(B38,[1]Sheet1!B:N,9,0)</f>
        <v>1.91</v>
      </c>
      <c r="D38" t="str">
        <f>VLOOKUP(B38,[1]Sheet1!B:N,10,0)</f>
        <v>$</v>
      </c>
      <c r="E38" s="3">
        <f>VLOOKUP(B38,[1]Sheet1!B:N,6,0)</f>
        <v>45684</v>
      </c>
      <c r="F38">
        <v>10</v>
      </c>
      <c r="G38" t="str">
        <f>VLOOKUP(B38,[1]Sheet1!B:N,8,0)</f>
        <v>דר טכנולוגיות בע"מ</v>
      </c>
      <c r="H38" t="str">
        <f>VLOOKUP(B38,[1]Sheet1!B:N,5,0)</f>
        <v>01.0003</v>
      </c>
    </row>
    <row r="39" spans="1:8" x14ac:dyDescent="0.3">
      <c r="A39" s="2" t="s">
        <v>70</v>
      </c>
      <c r="B39" t="s">
        <v>71</v>
      </c>
      <c r="C39">
        <f>VLOOKUP(B39,[1]Sheet1!B:N,9,0)</f>
        <v>5.5</v>
      </c>
      <c r="D39" t="str">
        <f>VLOOKUP(B39,[1]Sheet1!B:N,10,0)</f>
        <v>₪</v>
      </c>
      <c r="E39" s="3">
        <f>VLOOKUP(B39,[1]Sheet1!B:N,6,0)</f>
        <v>46064</v>
      </c>
      <c r="F39">
        <v>10</v>
      </c>
      <c r="G39" t="str">
        <f>VLOOKUP(B39,[1]Sheet1!B:N,8,0)</f>
        <v>ברמיל בע"מ</v>
      </c>
      <c r="H39" t="str">
        <f>VLOOKUP(B39,[1]Sheet1!B:N,5,0)</f>
        <v>01.0014</v>
      </c>
    </row>
    <row r="40" spans="1:8" x14ac:dyDescent="0.3">
      <c r="A40" s="2"/>
      <c r="B40" t="s">
        <v>72</v>
      </c>
      <c r="C40">
        <f>VLOOKUP(B40,[1]Sheet1!B:N,9,0)</f>
        <v>1.2</v>
      </c>
      <c r="D40" t="str">
        <f>VLOOKUP(B40,[1]Sheet1!B:N,10,0)</f>
        <v>₪</v>
      </c>
      <c r="E40" s="3">
        <f>VLOOKUP(B40,[1]Sheet1!B:N,6,0)</f>
        <v>45728</v>
      </c>
      <c r="F40">
        <v>9</v>
      </c>
      <c r="G40" t="str">
        <f>VLOOKUP(B40,[1]Sheet1!B:N,8,0)</f>
        <v>גין מהנדסים בע"מ</v>
      </c>
      <c r="H40" t="str">
        <f>VLOOKUP(B40,[1]Sheet1!B:N,5,0)</f>
        <v>01.0580</v>
      </c>
    </row>
    <row r="41" spans="1:8" x14ac:dyDescent="0.3">
      <c r="A41" s="2"/>
      <c r="B41" t="s">
        <v>73</v>
      </c>
      <c r="C41">
        <f>VLOOKUP(B41,[1]Sheet1!B:N,9,0)</f>
        <v>0.4476</v>
      </c>
      <c r="D41" t="str">
        <f>VLOOKUP(B41,[1]Sheet1!B:N,10,0)</f>
        <v>₪</v>
      </c>
      <c r="E41" s="3">
        <f>VLOOKUP(B41,[1]Sheet1!B:N,6,0)</f>
        <v>45321</v>
      </c>
      <c r="F41">
        <v>9</v>
      </c>
      <c r="G41" t="str">
        <f>VLOOKUP(B41,[1]Sheet1!B:N,8,0)</f>
        <v>דר טכנולוגיות בע"מ</v>
      </c>
      <c r="H41" t="str">
        <f>VLOOKUP(B41,[1]Sheet1!B:N,5,0)</f>
        <v>01.0044</v>
      </c>
    </row>
    <row r="42" spans="1:8" x14ac:dyDescent="0.3">
      <c r="A42" s="2" t="s">
        <v>74</v>
      </c>
      <c r="B42" t="s">
        <v>75</v>
      </c>
      <c r="C42">
        <f>VLOOKUP(B42,[1]Sheet1!B:N,9,0)</f>
        <v>0.45</v>
      </c>
      <c r="D42" t="str">
        <f>VLOOKUP(B42,[1]Sheet1!B:N,10,0)</f>
        <v>₪</v>
      </c>
      <c r="E42" s="3">
        <f>VLOOKUP(B42,[1]Sheet1!B:N,6,0)</f>
        <v>46068</v>
      </c>
      <c r="F42">
        <v>9</v>
      </c>
      <c r="G42" t="str">
        <f>VLOOKUP(B42,[1]Sheet1!B:N,8,0)</f>
        <v>דר טכנולוגיות בע"מ</v>
      </c>
      <c r="H42" t="str">
        <f>VLOOKUP(B42,[1]Sheet1!B:N,5,0)</f>
        <v>01.0021</v>
      </c>
    </row>
    <row r="43" spans="1:8" x14ac:dyDescent="0.3">
      <c r="A43" s="2" t="s">
        <v>76</v>
      </c>
      <c r="B43" t="s">
        <v>77</v>
      </c>
      <c r="C43">
        <f>VLOOKUP(B43,[1]Sheet1!B:N,9,0)</f>
        <v>6</v>
      </c>
      <c r="D43" t="str">
        <f>VLOOKUP(B43,[1]Sheet1!B:N,10,0)</f>
        <v>₪</v>
      </c>
      <c r="E43" s="3">
        <f>VLOOKUP(B43,[1]Sheet1!B:N,6,0)</f>
        <v>45650</v>
      </c>
      <c r="F43">
        <v>9</v>
      </c>
      <c r="G43" t="str">
        <f>VLOOKUP(B43,[1]Sheet1!B:N,8,0)</f>
        <v>דר טכנולוגיות בע"מ</v>
      </c>
      <c r="H43" t="str">
        <f>VLOOKUP(B43,[1]Sheet1!B:N,5,0)</f>
        <v>01.0014</v>
      </c>
    </row>
    <row r="44" spans="1:8" x14ac:dyDescent="0.3">
      <c r="A44" s="2" t="s">
        <v>78</v>
      </c>
      <c r="B44" t="s">
        <v>79</v>
      </c>
      <c r="C44">
        <f>VLOOKUP(B44,[1]Sheet1!B:N,9,0)</f>
        <v>0.51959999999999995</v>
      </c>
      <c r="D44" t="str">
        <f>VLOOKUP(B44,[1]Sheet1!B:N,10,0)</f>
        <v>₪</v>
      </c>
      <c r="E44" s="3">
        <f>VLOOKUP(B44,[1]Sheet1!B:N,6,0)</f>
        <v>45981</v>
      </c>
      <c r="F44">
        <v>9</v>
      </c>
      <c r="G44" t="str">
        <f>VLOOKUP(B44,[1]Sheet1!B:N,8,0)</f>
        <v>לוונשטיין טכנולוגיות בע"מ</v>
      </c>
      <c r="H44" t="str">
        <f>VLOOKUP(B44,[1]Sheet1!B:N,5,0)</f>
        <v>01.0019</v>
      </c>
    </row>
    <row r="45" spans="1:8" x14ac:dyDescent="0.3">
      <c r="A45" s="2"/>
      <c r="B45" t="s">
        <v>80</v>
      </c>
      <c r="C45">
        <f>VLOOKUP(B45,[1]Sheet1!B:N,9,0)</f>
        <v>2.1920000000000002</v>
      </c>
      <c r="D45" t="str">
        <f>VLOOKUP(B45,[1]Sheet1!B:N,10,0)</f>
        <v>₪</v>
      </c>
      <c r="E45" s="3">
        <f>VLOOKUP(B45,[1]Sheet1!B:N,6,0)</f>
        <v>45761</v>
      </c>
      <c r="F45">
        <v>8</v>
      </c>
      <c r="G45" t="str">
        <f>VLOOKUP(B45,[1]Sheet1!B:N,8,0)</f>
        <v>ברמיל בע"מ</v>
      </c>
      <c r="H45" t="str">
        <f>VLOOKUP(B45,[1]Sheet1!B:N,5,0)</f>
        <v>01.0603</v>
      </c>
    </row>
    <row r="46" spans="1:8" x14ac:dyDescent="0.3">
      <c r="A46" s="2"/>
      <c r="B46" t="s">
        <v>81</v>
      </c>
      <c r="C46">
        <f>VLOOKUP(B46,[1]Sheet1!B:N,9,0)</f>
        <v>375</v>
      </c>
      <c r="D46" t="str">
        <f>VLOOKUP(B46,[1]Sheet1!B:N,10,0)</f>
        <v>₪</v>
      </c>
      <c r="E46" s="3">
        <f>VLOOKUP(B46,[1]Sheet1!B:N,6,0)</f>
        <v>45985</v>
      </c>
      <c r="F46">
        <v>8</v>
      </c>
      <c r="G46" t="str">
        <f>VLOOKUP(B46,[1]Sheet1!B:N,8,0)</f>
        <v>לוונשטיין טכנולוגיות בע"מ</v>
      </c>
      <c r="H46" t="str">
        <f>VLOOKUP(B46,[1]Sheet1!B:N,5,0)</f>
        <v>01.0309</v>
      </c>
    </row>
    <row r="47" spans="1:8" x14ac:dyDescent="0.3">
      <c r="A47" s="2" t="s">
        <v>82</v>
      </c>
      <c r="B47" t="s">
        <v>83</v>
      </c>
      <c r="C47">
        <f>VLOOKUP(B47,[1]Sheet1!B:N,9,0)</f>
        <v>618.7998</v>
      </c>
      <c r="D47" t="str">
        <f>VLOOKUP(B47,[1]Sheet1!B:N,10,0)</f>
        <v>₪</v>
      </c>
      <c r="E47" s="3">
        <f>VLOOKUP(B47,[1]Sheet1!B:N,6,0)</f>
        <v>45804</v>
      </c>
      <c r="F47">
        <v>8</v>
      </c>
      <c r="G47" t="str">
        <f>VLOOKUP(B47,[1]Sheet1!B:N,8,0)</f>
        <v>לשם טכנולוגיות תעשיי</v>
      </c>
      <c r="H47" t="str">
        <f>VLOOKUP(B47,[1]Sheet1!B:N,5,0)</f>
        <v>01.0101</v>
      </c>
    </row>
    <row r="48" spans="1:8" x14ac:dyDescent="0.3">
      <c r="A48" s="2" t="s">
        <v>26</v>
      </c>
      <c r="B48" t="s">
        <v>52</v>
      </c>
      <c r="C48">
        <f>VLOOKUP(B48,[1]Sheet1!B:N,9,0)</f>
        <v>0.42</v>
      </c>
      <c r="D48" t="str">
        <f>VLOOKUP(B48,[1]Sheet1!B:N,10,0)</f>
        <v>₪</v>
      </c>
      <c r="E48" s="3">
        <f>VLOOKUP(B48,[1]Sheet1!B:N,6,0)</f>
        <v>45984</v>
      </c>
      <c r="F48">
        <v>8</v>
      </c>
      <c r="G48" t="str">
        <f>VLOOKUP(B48,[1]Sheet1!B:N,8,0)</f>
        <v>דר טכנולוגיות בע"מ</v>
      </c>
      <c r="H48" t="str">
        <f>VLOOKUP(B48,[1]Sheet1!B:N,5,0)</f>
        <v>01.0008</v>
      </c>
    </row>
    <row r="49" spans="1:8" x14ac:dyDescent="0.3">
      <c r="A49" s="2" t="s">
        <v>84</v>
      </c>
      <c r="B49" t="s">
        <v>85</v>
      </c>
      <c r="C49">
        <f>VLOOKUP(B49,[1]Sheet1!B:N,9,0)</f>
        <v>0.5</v>
      </c>
      <c r="D49" t="str">
        <f>VLOOKUP(B49,[1]Sheet1!B:N,10,0)</f>
        <v>₪</v>
      </c>
      <c r="E49" s="3">
        <f>VLOOKUP(B49,[1]Sheet1!B:N,6,0)</f>
        <v>46049</v>
      </c>
      <c r="F49">
        <v>8</v>
      </c>
      <c r="G49" t="str">
        <f>VLOOKUP(B49,[1]Sheet1!B:N,8,0)</f>
        <v>דר טכנולוגיות בע"מ</v>
      </c>
      <c r="H49" t="str">
        <f>VLOOKUP(B49,[1]Sheet1!B:N,5,0)</f>
        <v>01.0270</v>
      </c>
    </row>
    <row r="50" spans="1:8" x14ac:dyDescent="0.3">
      <c r="A50" s="2"/>
      <c r="B50" t="s">
        <v>86</v>
      </c>
      <c r="C50">
        <f>VLOOKUP(B50,[1]Sheet1!B:N,9,0)</f>
        <v>0.9</v>
      </c>
      <c r="D50" t="str">
        <f>VLOOKUP(B50,[1]Sheet1!B:N,10,0)</f>
        <v>₪</v>
      </c>
      <c r="E50" s="3">
        <f>VLOOKUP(B50,[1]Sheet1!B:N,6,0)</f>
        <v>45992</v>
      </c>
      <c r="F50">
        <v>7</v>
      </c>
      <c r="G50" t="str">
        <f>VLOOKUP(B50,[1]Sheet1!B:N,8,0)</f>
        <v>דר טכנולוגיות בע"מ</v>
      </c>
      <c r="H50" t="str">
        <f>VLOOKUP(B50,[1]Sheet1!B:N,5,0)</f>
        <v>01.0042</v>
      </c>
    </row>
    <row r="51" spans="1:8" x14ac:dyDescent="0.3">
      <c r="A51" s="2"/>
      <c r="B51" t="s">
        <v>87</v>
      </c>
      <c r="C51">
        <f>VLOOKUP(B51,[1]Sheet1!B:N,9,0)</f>
        <v>0.6</v>
      </c>
      <c r="D51" t="str">
        <f>VLOOKUP(B51,[1]Sheet1!B:N,10,0)</f>
        <v>₪</v>
      </c>
      <c r="E51" s="3">
        <f>VLOOKUP(B51,[1]Sheet1!B:N,6,0)</f>
        <v>45676</v>
      </c>
      <c r="F51">
        <v>7</v>
      </c>
      <c r="G51" t="str">
        <f>VLOOKUP(B51,[1]Sheet1!B:N,8,0)</f>
        <v>לוונשטיין טכנולוגיות בע"מ</v>
      </c>
      <c r="H51" t="str">
        <f>VLOOKUP(B51,[1]Sheet1!B:N,5,0)</f>
        <v>01.0066</v>
      </c>
    </row>
    <row r="52" spans="1:8" x14ac:dyDescent="0.3">
      <c r="A52" s="2"/>
      <c r="B52" t="s">
        <v>88</v>
      </c>
      <c r="C52">
        <f>VLOOKUP(B52,[1]Sheet1!B:N,9,0)</f>
        <v>2.1</v>
      </c>
      <c r="D52" t="str">
        <f>VLOOKUP(B52,[1]Sheet1!B:N,10,0)</f>
        <v>₪</v>
      </c>
      <c r="E52" s="3">
        <f>VLOOKUP(B52,[1]Sheet1!B:N,6,0)</f>
        <v>45113</v>
      </c>
      <c r="F52">
        <v>7</v>
      </c>
      <c r="G52" t="str">
        <f>VLOOKUP(B52,[1]Sheet1!B:N,8,0)</f>
        <v>גין מהנדסים בע"מ</v>
      </c>
      <c r="H52" t="str">
        <f>VLOOKUP(B52,[1]Sheet1!B:N,5,0)</f>
        <v>01.0285</v>
      </c>
    </row>
    <row r="53" spans="1:8" x14ac:dyDescent="0.3">
      <c r="A53" s="2"/>
      <c r="B53" t="s">
        <v>89</v>
      </c>
      <c r="C53">
        <f>VLOOKUP(B53,[1]Sheet1!B:N,9,0)</f>
        <v>1.95</v>
      </c>
      <c r="D53" t="str">
        <f>VLOOKUP(B53,[1]Sheet1!B:N,10,0)</f>
        <v>₪</v>
      </c>
      <c r="E53" s="3">
        <f>VLOOKUP(B53,[1]Sheet1!B:N,6,0)</f>
        <v>45949</v>
      </c>
      <c r="F53">
        <v>7</v>
      </c>
      <c r="G53" t="str">
        <f>VLOOKUP(B53,[1]Sheet1!B:N,8,0)</f>
        <v>ברמיל בע"מ</v>
      </c>
      <c r="H53" t="str">
        <f>VLOOKUP(B53,[1]Sheet1!B:N,5,0)</f>
        <v>01.0563</v>
      </c>
    </row>
    <row r="54" spans="1:8" x14ac:dyDescent="0.3">
      <c r="A54" s="2"/>
      <c r="B54" t="s">
        <v>90</v>
      </c>
      <c r="C54">
        <f>VLOOKUP(B54,[1]Sheet1!B:N,9,0)</f>
        <v>380</v>
      </c>
      <c r="D54" t="str">
        <f>VLOOKUP(B54,[1]Sheet1!B:N,10,0)</f>
        <v>₪</v>
      </c>
      <c r="E54" s="3">
        <f>VLOOKUP(B54,[1]Sheet1!B:N,6,0)</f>
        <v>45727</v>
      </c>
      <c r="F54">
        <v>7</v>
      </c>
      <c r="G54" t="str">
        <f>VLOOKUP(B54,[1]Sheet1!B:N,8,0)</f>
        <v>לוונשטיין טכנולוגיות בע"מ</v>
      </c>
      <c r="H54" t="str">
        <f>VLOOKUP(B54,[1]Sheet1!B:N,5,0)</f>
        <v>01.0310</v>
      </c>
    </row>
    <row r="55" spans="1:8" x14ac:dyDescent="0.3">
      <c r="A55" s="2" t="s">
        <v>91</v>
      </c>
      <c r="B55" t="s">
        <v>92</v>
      </c>
      <c r="C55">
        <f>VLOOKUP(B55,[1]Sheet1!B:N,9,0)</f>
        <v>0.65</v>
      </c>
      <c r="D55" t="str">
        <f>VLOOKUP(B55,[1]Sheet1!B:N,10,0)</f>
        <v>₪</v>
      </c>
      <c r="E55" s="3">
        <f>VLOOKUP(B55,[1]Sheet1!B:N,6,0)</f>
        <v>46049</v>
      </c>
      <c r="F55">
        <v>7</v>
      </c>
      <c r="G55" t="str">
        <f>VLOOKUP(B55,[1]Sheet1!B:N,8,0)</f>
        <v>דר טכנולוגיות בע"מ</v>
      </c>
      <c r="H55" t="str">
        <f>VLOOKUP(B55,[1]Sheet1!B:N,5,0)</f>
        <v>01.0022</v>
      </c>
    </row>
    <row r="56" spans="1:8" x14ac:dyDescent="0.3">
      <c r="A56" s="2" t="s">
        <v>93</v>
      </c>
      <c r="B56" t="s">
        <v>94</v>
      </c>
      <c r="C56">
        <f>VLOOKUP(B56,[1]Sheet1!B:N,9,0)</f>
        <v>0.59660000000000002</v>
      </c>
      <c r="D56" t="str">
        <f>VLOOKUP(B56,[1]Sheet1!B:N,10,0)</f>
        <v>₪</v>
      </c>
      <c r="E56" s="3">
        <f>VLOOKUP(B56,[1]Sheet1!B:N,6,0)</f>
        <v>45182</v>
      </c>
      <c r="F56">
        <v>7</v>
      </c>
      <c r="G56" t="str">
        <f>VLOOKUP(B56,[1]Sheet1!B:N,8,0)</f>
        <v>דר טכנולוגיות בע"מ</v>
      </c>
      <c r="H56" t="str">
        <f>VLOOKUP(B56,[1]Sheet1!B:N,5,0)</f>
        <v>01.0024</v>
      </c>
    </row>
    <row r="57" spans="1:8" x14ac:dyDescent="0.3">
      <c r="A57" s="2" t="s">
        <v>95</v>
      </c>
      <c r="B57" t="s">
        <v>96</v>
      </c>
      <c r="C57">
        <f>VLOOKUP(B57,[1]Sheet1!B:N,9,0)</f>
        <v>6.5</v>
      </c>
      <c r="D57" t="str">
        <f>VLOOKUP(B57,[1]Sheet1!B:N,10,0)</f>
        <v>₪</v>
      </c>
      <c r="E57" s="3">
        <f>VLOOKUP(B57,[1]Sheet1!B:N,6,0)</f>
        <v>45739</v>
      </c>
      <c r="F57">
        <v>7</v>
      </c>
      <c r="G57" t="str">
        <f>VLOOKUP(B57,[1]Sheet1!B:N,8,0)</f>
        <v>לוונשטיין טכנולוגיות בע"מ</v>
      </c>
      <c r="H57" t="str">
        <f>VLOOKUP(B57,[1]Sheet1!B:N,5,0)</f>
        <v>01.0254</v>
      </c>
    </row>
    <row r="58" spans="1:8" x14ac:dyDescent="0.3">
      <c r="A58" s="2" t="s">
        <v>97</v>
      </c>
      <c r="B58" t="s">
        <v>98</v>
      </c>
      <c r="C58">
        <f>VLOOKUP(B58,[1]Sheet1!B:N,9,0)</f>
        <v>12</v>
      </c>
      <c r="D58" t="str">
        <f>VLOOKUP(B58,[1]Sheet1!B:N,10,0)</f>
        <v>₪</v>
      </c>
      <c r="E58" s="3">
        <f>VLOOKUP(B58,[1]Sheet1!B:N,6,0)</f>
        <v>45762</v>
      </c>
      <c r="F58">
        <v>7</v>
      </c>
      <c r="G58" t="str">
        <f>VLOOKUP(B58,[1]Sheet1!B:N,8,0)</f>
        <v>גין מהנדסים בע"מ</v>
      </c>
      <c r="H58" t="str">
        <f>VLOOKUP(B58,[1]Sheet1!B:N,5,0)</f>
        <v>01.0161</v>
      </c>
    </row>
    <row r="59" spans="1:8" x14ac:dyDescent="0.3">
      <c r="A59" s="2" t="s">
        <v>99</v>
      </c>
      <c r="B59" t="s">
        <v>100</v>
      </c>
      <c r="C59">
        <f>VLOOKUP(B59,[1]Sheet1!B:N,9,0)</f>
        <v>6.3000999999999996</v>
      </c>
      <c r="D59" t="str">
        <f>VLOOKUP(B59,[1]Sheet1!B:N,10,0)</f>
        <v>₪</v>
      </c>
      <c r="E59" s="3">
        <f>VLOOKUP(B59,[1]Sheet1!B:N,6,0)</f>
        <v>44081</v>
      </c>
      <c r="F59">
        <v>7</v>
      </c>
      <c r="G59" t="str">
        <f>VLOOKUP(B59,[1]Sheet1!B:N,8,0)</f>
        <v>גין מהנדסים בע"מ</v>
      </c>
      <c r="H59" t="str">
        <f>VLOOKUP(B59,[1]Sheet1!B:N,5,0)</f>
        <v>01.0029</v>
      </c>
    </row>
    <row r="60" spans="1:8" x14ac:dyDescent="0.3">
      <c r="A60" s="2" t="s">
        <v>101</v>
      </c>
      <c r="B60" t="s">
        <v>102</v>
      </c>
      <c r="C60">
        <f>VLOOKUP(B60,[1]Sheet1!B:N,9,0)</f>
        <v>0.4844</v>
      </c>
      <c r="D60" t="str">
        <f>VLOOKUP(B60,[1]Sheet1!B:N,10,0)</f>
        <v>₪</v>
      </c>
      <c r="E60" s="3">
        <f>VLOOKUP(B60,[1]Sheet1!B:N,6,0)</f>
        <v>45630</v>
      </c>
      <c r="F60">
        <v>7</v>
      </c>
      <c r="G60" t="str">
        <f>VLOOKUP(B60,[1]Sheet1!B:N,8,0)</f>
        <v>לוונשטיין טכנולוגיות בע"מ</v>
      </c>
      <c r="H60" t="str">
        <f>VLOOKUP(B60,[1]Sheet1!B:N,5,0)</f>
        <v>01.0040</v>
      </c>
    </row>
    <row r="61" spans="1:8" x14ac:dyDescent="0.3">
      <c r="A61" s="2" t="s">
        <v>103</v>
      </c>
      <c r="B61" t="s">
        <v>104</v>
      </c>
      <c r="C61">
        <f>VLOOKUP(B61,[1]Sheet1!B:N,9,0)</f>
        <v>0.75</v>
      </c>
      <c r="D61" t="str">
        <f>VLOOKUP(B61,[1]Sheet1!B:N,10,0)</f>
        <v>₪</v>
      </c>
      <c r="E61" s="3">
        <f>VLOOKUP(B61,[1]Sheet1!B:N,6,0)</f>
        <v>46064</v>
      </c>
      <c r="F61">
        <v>7</v>
      </c>
      <c r="G61" t="str">
        <f>VLOOKUP(B61,[1]Sheet1!B:N,8,0)</f>
        <v>לוונשטיין טכנולוגיות בע"מ</v>
      </c>
      <c r="H61" t="str">
        <f>VLOOKUP(B61,[1]Sheet1!B:N,5,0)</f>
        <v>01.0009</v>
      </c>
    </row>
    <row r="62" spans="1:8" x14ac:dyDescent="0.3">
      <c r="A62" s="2" t="s">
        <v>105</v>
      </c>
      <c r="B62" t="s">
        <v>106</v>
      </c>
      <c r="C62">
        <f>VLOOKUP(B62,[1]Sheet1!B:N,9,0)</f>
        <v>0.95</v>
      </c>
      <c r="D62" t="str">
        <f>VLOOKUP(B62,[1]Sheet1!B:N,10,0)</f>
        <v>₪</v>
      </c>
      <c r="E62" s="3">
        <f>VLOOKUP(B62,[1]Sheet1!B:N,6,0)</f>
        <v>44931</v>
      </c>
      <c r="F62">
        <v>7</v>
      </c>
      <c r="G62" t="str">
        <f>VLOOKUP(B62,[1]Sheet1!B:N,8,0)</f>
        <v>לוונשטיין טכנולוגיות בע"מ</v>
      </c>
      <c r="H62" t="str">
        <f>VLOOKUP(B62,[1]Sheet1!B:N,5,0)</f>
        <v>01.0183</v>
      </c>
    </row>
    <row r="63" spans="1:8" x14ac:dyDescent="0.3">
      <c r="A63" s="2" t="s">
        <v>107</v>
      </c>
      <c r="B63" t="s">
        <v>108</v>
      </c>
      <c r="C63">
        <f>VLOOKUP(B63,[1]Sheet1!B:N,9,0)</f>
        <v>1</v>
      </c>
      <c r="D63" t="str">
        <f>VLOOKUP(B63,[1]Sheet1!B:N,10,0)</f>
        <v>₪</v>
      </c>
      <c r="E63" s="3">
        <f>VLOOKUP(B63,[1]Sheet1!B:N,6,0)</f>
        <v>45830</v>
      </c>
      <c r="F63">
        <v>7</v>
      </c>
      <c r="G63" t="str">
        <f>VLOOKUP(B63,[1]Sheet1!B:N,8,0)</f>
        <v>לוונשטיין טכנולוגיות בע"מ</v>
      </c>
      <c r="H63" t="str">
        <f>VLOOKUP(B63,[1]Sheet1!B:N,5,0)</f>
        <v>01.0209</v>
      </c>
    </row>
    <row r="64" spans="1:8" x14ac:dyDescent="0.3">
      <c r="A64" s="2" t="s">
        <v>109</v>
      </c>
      <c r="B64" t="s">
        <v>110</v>
      </c>
      <c r="C64">
        <f>VLOOKUP(B64,[1]Sheet1!B:N,9,0)</f>
        <v>0.65</v>
      </c>
      <c r="D64" t="str">
        <f>VLOOKUP(B64,[1]Sheet1!B:N,10,0)</f>
        <v>₪</v>
      </c>
      <c r="E64" s="3">
        <f>VLOOKUP(B64,[1]Sheet1!B:N,6,0)</f>
        <v>46084.438439618054</v>
      </c>
      <c r="F64">
        <v>7</v>
      </c>
      <c r="G64" t="str">
        <f>VLOOKUP(B64,[1]Sheet1!B:N,8,0)</f>
        <v>דר טכנולוגיות בע"מ</v>
      </c>
      <c r="H64" t="str">
        <f>VLOOKUP(B64,[1]Sheet1!B:N,5,0)</f>
        <v>01.0228</v>
      </c>
    </row>
    <row r="65" spans="1:8" x14ac:dyDescent="0.3">
      <c r="A65" s="2" t="s">
        <v>111</v>
      </c>
      <c r="B65" t="s">
        <v>112</v>
      </c>
      <c r="C65">
        <f>VLOOKUP(B65,[1]Sheet1!B:N,9,0)</f>
        <v>0.45</v>
      </c>
      <c r="D65" t="str">
        <f>VLOOKUP(B65,[1]Sheet1!B:N,10,0)</f>
        <v>₪</v>
      </c>
      <c r="E65" s="3">
        <f>VLOOKUP(B65,[1]Sheet1!B:N,6,0)</f>
        <v>45792</v>
      </c>
      <c r="F65">
        <v>7</v>
      </c>
      <c r="G65" t="str">
        <f>VLOOKUP(B65,[1]Sheet1!B:N,8,0)</f>
        <v>דר טכנולוגיות בע"מ</v>
      </c>
      <c r="H65" t="str">
        <f>VLOOKUP(B65,[1]Sheet1!B:N,5,0)</f>
        <v>01.0007</v>
      </c>
    </row>
    <row r="66" spans="1:8" x14ac:dyDescent="0.3">
      <c r="A66" s="2" t="s">
        <v>56</v>
      </c>
      <c r="B66" t="s">
        <v>113</v>
      </c>
      <c r="C66">
        <f>VLOOKUP(B66,[1]Sheet1!B:N,9,0)</f>
        <v>6.2</v>
      </c>
      <c r="D66" t="str">
        <f>VLOOKUP(B66,[1]Sheet1!B:N,10,0)</f>
        <v>₪</v>
      </c>
      <c r="E66" s="3">
        <f>VLOOKUP(B66,[1]Sheet1!B:N,6,0)</f>
        <v>46049</v>
      </c>
      <c r="F66">
        <v>7</v>
      </c>
      <c r="G66" t="str">
        <f>VLOOKUP(B66,[1]Sheet1!B:N,8,0)</f>
        <v>גין מהנדסים בע"מ</v>
      </c>
      <c r="H66" t="str">
        <f>VLOOKUP(B66,[1]Sheet1!B:N,5,0)</f>
        <v>01.0013</v>
      </c>
    </row>
    <row r="67" spans="1:8" x14ac:dyDescent="0.3">
      <c r="A67" s="2"/>
      <c r="B67" t="s">
        <v>114</v>
      </c>
      <c r="C67">
        <f>VLOOKUP(B67,[1]Sheet1!B:N,9,0)</f>
        <v>0.9</v>
      </c>
      <c r="D67" t="str">
        <f>VLOOKUP(B67,[1]Sheet1!B:N,10,0)</f>
        <v>₪</v>
      </c>
      <c r="E67" s="3">
        <f>VLOOKUP(B67,[1]Sheet1!B:N,6,0)</f>
        <v>45488</v>
      </c>
      <c r="F67">
        <v>6</v>
      </c>
      <c r="G67" t="str">
        <f>VLOOKUP(B67,[1]Sheet1!B:N,8,0)</f>
        <v>לוונשטיין טכנולוגיות בע"מ</v>
      </c>
      <c r="H67" t="str">
        <f>VLOOKUP(B67,[1]Sheet1!B:N,5,0)</f>
        <v>01.0127</v>
      </c>
    </row>
    <row r="68" spans="1:8" x14ac:dyDescent="0.3">
      <c r="A68" s="2"/>
      <c r="B68" t="s">
        <v>115</v>
      </c>
      <c r="C68">
        <f>VLOOKUP(B68,[1]Sheet1!B:N,9,0)</f>
        <v>1</v>
      </c>
      <c r="D68" t="str">
        <f>VLOOKUP(B68,[1]Sheet1!B:N,10,0)</f>
        <v>₪</v>
      </c>
      <c r="E68" s="3">
        <f>VLOOKUP(B68,[1]Sheet1!B:N,6,0)</f>
        <v>44663</v>
      </c>
      <c r="F68">
        <v>6</v>
      </c>
      <c r="G68" t="str">
        <f>VLOOKUP(B68,[1]Sheet1!B:N,8,0)</f>
        <v>לוונשטיין טכנולוגיות בע"מ</v>
      </c>
      <c r="H68" t="str">
        <f>VLOOKUP(B68,[1]Sheet1!B:N,5,0)</f>
        <v>01.0512</v>
      </c>
    </row>
    <row r="69" spans="1:8" x14ac:dyDescent="0.3">
      <c r="A69" s="2"/>
      <c r="B69" t="s">
        <v>116</v>
      </c>
      <c r="C69">
        <f>VLOOKUP(B69,[1]Sheet1!B:N,9,0)</f>
        <v>2.9998999999999998</v>
      </c>
      <c r="D69" t="str">
        <f>VLOOKUP(B69,[1]Sheet1!B:N,10,0)</f>
        <v>₪</v>
      </c>
      <c r="E69" s="3">
        <f>VLOOKUP(B69,[1]Sheet1!B:N,6,0)</f>
        <v>45971</v>
      </c>
      <c r="F69">
        <v>6</v>
      </c>
      <c r="G69" t="str">
        <f>VLOOKUP(B69,[1]Sheet1!B:N,8,0)</f>
        <v>דר טכנולוגיות בע"מ</v>
      </c>
      <c r="H69" t="str">
        <f>VLOOKUP(B69,[1]Sheet1!B:N,5,0)</f>
        <v>01.0087</v>
      </c>
    </row>
    <row r="70" spans="1:8" x14ac:dyDescent="0.3">
      <c r="A70" s="2"/>
      <c r="B70" t="s">
        <v>117</v>
      </c>
      <c r="C70">
        <f>VLOOKUP(B70,[1]Sheet1!B:N,9,0)</f>
        <v>367.5</v>
      </c>
      <c r="D70" t="str">
        <f>VLOOKUP(B70,[1]Sheet1!B:N,10,0)</f>
        <v>₪</v>
      </c>
      <c r="E70" s="3">
        <f>VLOOKUP(B70,[1]Sheet1!B:N,6,0)</f>
        <v>45697</v>
      </c>
      <c r="F70">
        <v>6</v>
      </c>
      <c r="G70" t="str">
        <f>VLOOKUP(B70,[1]Sheet1!B:N,8,0)</f>
        <v>לוונשטיין טכנולוגיות בע"מ</v>
      </c>
      <c r="H70" t="str">
        <f>VLOOKUP(B70,[1]Sheet1!B:N,5,0)</f>
        <v>01.0308</v>
      </c>
    </row>
    <row r="71" spans="1:8" x14ac:dyDescent="0.3">
      <c r="A71" s="2" t="s">
        <v>118</v>
      </c>
      <c r="B71" t="s">
        <v>104</v>
      </c>
      <c r="C71">
        <f>VLOOKUP(B71,[1]Sheet1!B:N,9,0)</f>
        <v>0.75</v>
      </c>
      <c r="D71" t="str">
        <f>VLOOKUP(B71,[1]Sheet1!B:N,10,0)</f>
        <v>₪</v>
      </c>
      <c r="E71" s="3">
        <f>VLOOKUP(B71,[1]Sheet1!B:N,6,0)</f>
        <v>46064</v>
      </c>
      <c r="F71">
        <v>6</v>
      </c>
      <c r="G71" t="str">
        <f>VLOOKUP(B71,[1]Sheet1!B:N,8,0)</f>
        <v>לוונשטיין טכנולוגיות בע"מ</v>
      </c>
      <c r="H71" t="str">
        <f>VLOOKUP(B71,[1]Sheet1!B:N,5,0)</f>
        <v>01.0009</v>
      </c>
    </row>
    <row r="72" spans="1:8" x14ac:dyDescent="0.3">
      <c r="A72" s="2" t="s">
        <v>119</v>
      </c>
      <c r="B72" t="s">
        <v>120</v>
      </c>
      <c r="C72">
        <f>VLOOKUP(B72,[1]Sheet1!B:N,9,0)</f>
        <v>7</v>
      </c>
      <c r="D72" t="str">
        <f>VLOOKUP(B72,[1]Sheet1!B:N,10,0)</f>
        <v>₪</v>
      </c>
      <c r="E72" s="3">
        <f>VLOOKUP(B72,[1]Sheet1!B:N,6,0)</f>
        <v>45841</v>
      </c>
      <c r="F72">
        <v>6</v>
      </c>
      <c r="G72" t="str">
        <f>VLOOKUP(B72,[1]Sheet1!B:N,8,0)</f>
        <v>גין מהנדסים בע"מ</v>
      </c>
      <c r="H72" t="str">
        <f>VLOOKUP(B72,[1]Sheet1!B:N,5,0)</f>
        <v>01.0273</v>
      </c>
    </row>
    <row r="73" spans="1:8" x14ac:dyDescent="0.3">
      <c r="A73" s="2" t="s">
        <v>121</v>
      </c>
      <c r="B73" t="s">
        <v>122</v>
      </c>
      <c r="C73">
        <f>VLOOKUP(B73,[1]Sheet1!B:N,9,0)</f>
        <v>0</v>
      </c>
      <c r="D73" t="str">
        <f>VLOOKUP(B73,[1]Sheet1!B:N,10,0)</f>
        <v>₪</v>
      </c>
      <c r="E73" s="3">
        <f>VLOOKUP(B73,[1]Sheet1!B:N,6,0)</f>
        <v>42177</v>
      </c>
      <c r="F73">
        <v>6</v>
      </c>
      <c r="G73" t="str">
        <f>VLOOKUP(B73,[1]Sheet1!B:N,8,0)</f>
        <v>גין מהנדסים בע"מ</v>
      </c>
      <c r="H73" t="str">
        <f>VLOOKUP(B73,[1]Sheet1!B:N,5,0)</f>
        <v>01.0278</v>
      </c>
    </row>
    <row r="74" spans="1:8" x14ac:dyDescent="0.3">
      <c r="A74" s="2" t="s">
        <v>123</v>
      </c>
      <c r="B74" t="s">
        <v>124</v>
      </c>
      <c r="C74">
        <f>VLOOKUP(B74,[1]Sheet1!B:N,9,0)</f>
        <v>8.8000000000000007</v>
      </c>
      <c r="D74" t="str">
        <f>VLOOKUP(B74,[1]Sheet1!B:N,10,0)</f>
        <v>₪</v>
      </c>
      <c r="E74" s="3">
        <f>VLOOKUP(B74,[1]Sheet1!B:N,6,0)</f>
        <v>45531</v>
      </c>
      <c r="F74">
        <v>6</v>
      </c>
      <c r="G74" t="str">
        <f>VLOOKUP(B74,[1]Sheet1!B:N,8,0)</f>
        <v>גין מהנדסים בע"מ</v>
      </c>
      <c r="H74" t="str">
        <f>VLOOKUP(B74,[1]Sheet1!B:N,5,0)</f>
        <v>01.0250</v>
      </c>
    </row>
    <row r="75" spans="1:8" x14ac:dyDescent="0.3">
      <c r="A75" s="2" t="s">
        <v>125</v>
      </c>
      <c r="B75" t="s">
        <v>126</v>
      </c>
      <c r="C75">
        <f>VLOOKUP(B75,[1]Sheet1!B:N,9,0)</f>
        <v>0.52</v>
      </c>
      <c r="D75" t="str">
        <f>VLOOKUP(B75,[1]Sheet1!B:N,10,0)</f>
        <v>₪</v>
      </c>
      <c r="E75" s="3">
        <f>VLOOKUP(B75,[1]Sheet1!B:N,6,0)</f>
        <v>45894</v>
      </c>
      <c r="F75">
        <v>6</v>
      </c>
      <c r="G75" t="str">
        <f>VLOOKUP(B75,[1]Sheet1!B:N,8,0)</f>
        <v>לוונשטיין טכנולוגיות בע"מ</v>
      </c>
      <c r="H75" t="str">
        <f>VLOOKUP(B75,[1]Sheet1!B:N,5,0)</f>
        <v>01.0093</v>
      </c>
    </row>
    <row r="76" spans="1:8" x14ac:dyDescent="0.3">
      <c r="A76" s="2" t="s">
        <v>103</v>
      </c>
      <c r="B76" t="s">
        <v>127</v>
      </c>
      <c r="C76">
        <f>VLOOKUP(B76,[1]Sheet1!B:N,9,0)</f>
        <v>0.75</v>
      </c>
      <c r="D76" t="str">
        <f>VLOOKUP(B76,[1]Sheet1!B:N,10,0)</f>
        <v>₪</v>
      </c>
      <c r="E76" s="3">
        <f>VLOOKUP(B76,[1]Sheet1!B:N,6,0)</f>
        <v>45894</v>
      </c>
      <c r="F76">
        <v>6</v>
      </c>
      <c r="G76" t="str">
        <f>VLOOKUP(B76,[1]Sheet1!B:N,8,0)</f>
        <v>לוונשטיין טכנולוגיות בע"מ</v>
      </c>
      <c r="H76" t="str">
        <f>VLOOKUP(B76,[1]Sheet1!B:N,5,0)</f>
        <v>01.0009</v>
      </c>
    </row>
    <row r="77" spans="1:8" x14ac:dyDescent="0.3">
      <c r="A77" s="2" t="s">
        <v>128</v>
      </c>
      <c r="B77" t="s">
        <v>129</v>
      </c>
      <c r="C77">
        <f>VLOOKUP(B77,[1]Sheet1!B:N,9,0)</f>
        <v>1.5</v>
      </c>
      <c r="D77" t="str">
        <f>VLOOKUP(B77,[1]Sheet1!B:N,10,0)</f>
        <v>₪</v>
      </c>
      <c r="E77" s="3">
        <f>VLOOKUP(B77,[1]Sheet1!B:N,6,0)</f>
        <v>45218</v>
      </c>
      <c r="F77">
        <v>6</v>
      </c>
      <c r="G77" t="str">
        <f>VLOOKUP(B77,[1]Sheet1!B:N,8,0)</f>
        <v>לוונשטיין טכנולוגיות בע"מ</v>
      </c>
      <c r="H77" t="str">
        <f>VLOOKUP(B77,[1]Sheet1!B:N,5,0)</f>
        <v>01.0083</v>
      </c>
    </row>
    <row r="78" spans="1:8" x14ac:dyDescent="0.3">
      <c r="A78" s="2" t="s">
        <v>32</v>
      </c>
      <c r="B78" t="s">
        <v>130</v>
      </c>
      <c r="C78">
        <f>VLOOKUP(B78,[1]Sheet1!B:N,9,0)</f>
        <v>0</v>
      </c>
      <c r="D78" t="str">
        <f>VLOOKUP(B78,[1]Sheet1!B:N,10,0)</f>
        <v>$</v>
      </c>
      <c r="E78" s="3">
        <f>VLOOKUP(B78,[1]Sheet1!B:N,6,0)</f>
        <v>41305</v>
      </c>
      <c r="F78">
        <v>6</v>
      </c>
      <c r="G78" t="str">
        <f>VLOOKUP(B78,[1]Sheet1!B:N,8,0)</f>
        <v>טמבור הפצות בע"מ</v>
      </c>
      <c r="H78" t="str">
        <f>VLOOKUP(B78,[1]Sheet1!B:N,5,0)</f>
        <v>01.0068</v>
      </c>
    </row>
    <row r="79" spans="1:8" x14ac:dyDescent="0.3">
      <c r="A79" s="2" t="s">
        <v>131</v>
      </c>
      <c r="B79" t="s">
        <v>132</v>
      </c>
      <c r="C79">
        <f>VLOOKUP(B79,[1]Sheet1!B:N,9,0)</f>
        <v>9.2899999999999991</v>
      </c>
      <c r="D79" t="str">
        <f>VLOOKUP(B79,[1]Sheet1!B:N,10,0)</f>
        <v>$</v>
      </c>
      <c r="E79" s="3">
        <f>VLOOKUP(B79,[1]Sheet1!B:N,6,0)</f>
        <v>41252</v>
      </c>
      <c r="F79">
        <v>6</v>
      </c>
      <c r="G79" t="str">
        <f>VLOOKUP(B79,[1]Sheet1!B:N,8,0)</f>
        <v>מלאי מקומי בע"מ</v>
      </c>
      <c r="H79" t="str">
        <f>VLOOKUP(B79,[1]Sheet1!B:N,5,0)</f>
        <v>01.0247</v>
      </c>
    </row>
    <row r="80" spans="1:8" x14ac:dyDescent="0.3">
      <c r="A80" s="2"/>
      <c r="B80" t="s">
        <v>133</v>
      </c>
      <c r="C80">
        <f>VLOOKUP(B80,[1]Sheet1!B:N,9,0)</f>
        <v>0.44</v>
      </c>
      <c r="D80" t="str">
        <f>VLOOKUP(B80,[1]Sheet1!B:N,10,0)</f>
        <v>₪</v>
      </c>
      <c r="E80" s="3">
        <f>VLOOKUP(B80,[1]Sheet1!B:N,6,0)</f>
        <v>45959</v>
      </c>
      <c r="F80">
        <v>5</v>
      </c>
      <c r="G80" t="str">
        <f>VLOOKUP(B80,[1]Sheet1!B:N,8,0)</f>
        <v>דר טכנולוגיות בע"מ</v>
      </c>
      <c r="H80" t="str">
        <f>VLOOKUP(B80,[1]Sheet1!B:N,5,0)</f>
        <v>01.0053</v>
      </c>
    </row>
    <row r="81" spans="1:8" x14ac:dyDescent="0.3">
      <c r="A81" s="2"/>
      <c r="B81" t="s">
        <v>134</v>
      </c>
      <c r="C81">
        <f>VLOOKUP(B81,[1]Sheet1!B:N,9,0)</f>
        <v>0.55000000000000004</v>
      </c>
      <c r="D81" t="str">
        <f>VLOOKUP(B81,[1]Sheet1!B:N,10,0)</f>
        <v>₪</v>
      </c>
      <c r="E81" s="3">
        <f>VLOOKUP(B81,[1]Sheet1!B:N,6,0)</f>
        <v>46037</v>
      </c>
      <c r="F81">
        <v>5</v>
      </c>
      <c r="G81" t="str">
        <f>VLOOKUP(B81,[1]Sheet1!B:N,8,0)</f>
        <v>דר טכנולוגיות בע"מ</v>
      </c>
      <c r="H81" t="str">
        <f>VLOOKUP(B81,[1]Sheet1!B:N,5,0)</f>
        <v>01.0334</v>
      </c>
    </row>
    <row r="82" spans="1:8" x14ac:dyDescent="0.3">
      <c r="A82" s="2"/>
      <c r="B82" t="s">
        <v>135</v>
      </c>
      <c r="C82">
        <f>VLOOKUP(B82,[1]Sheet1!B:N,9,0)</f>
        <v>0.48</v>
      </c>
      <c r="D82" t="str">
        <f>VLOOKUP(B82,[1]Sheet1!B:N,10,0)</f>
        <v>₪</v>
      </c>
      <c r="E82" s="3">
        <f>VLOOKUP(B82,[1]Sheet1!B:N,6,0)</f>
        <v>45945</v>
      </c>
      <c r="F82">
        <v>5</v>
      </c>
      <c r="G82" t="str">
        <f>VLOOKUP(B82,[1]Sheet1!B:N,8,0)</f>
        <v>דר טכנולוגיות בע"מ</v>
      </c>
      <c r="H82" t="str">
        <f>VLOOKUP(B82,[1]Sheet1!B:N,5,0)</f>
        <v>01.0108</v>
      </c>
    </row>
    <row r="83" spans="1:8" x14ac:dyDescent="0.3">
      <c r="A83" s="2"/>
      <c r="B83" t="s">
        <v>136</v>
      </c>
      <c r="C83">
        <f>VLOOKUP(B83,[1]Sheet1!B:N,9,0)</f>
        <v>7.9</v>
      </c>
      <c r="D83" t="str">
        <f>VLOOKUP(B83,[1]Sheet1!B:N,10,0)</f>
        <v>₪</v>
      </c>
      <c r="E83" s="3">
        <f>VLOOKUP(B83,[1]Sheet1!B:N,6,0)</f>
        <v>45560</v>
      </c>
      <c r="F83">
        <v>5</v>
      </c>
      <c r="G83" t="str">
        <f>VLOOKUP(B83,[1]Sheet1!B:N,8,0)</f>
        <v>גין מהנדסים בע"מ</v>
      </c>
      <c r="H83" t="str">
        <f>VLOOKUP(B83,[1]Sheet1!B:N,5,0)</f>
        <v>01.0089</v>
      </c>
    </row>
    <row r="84" spans="1:8" x14ac:dyDescent="0.3">
      <c r="A84" s="2"/>
      <c r="B84" t="s">
        <v>137</v>
      </c>
      <c r="C84">
        <f>VLOOKUP(B84,[1]Sheet1!B:N,9,0)</f>
        <v>170</v>
      </c>
      <c r="D84" t="str">
        <f>VLOOKUP(B84,[1]Sheet1!B:N,10,0)</f>
        <v>₪</v>
      </c>
      <c r="E84" s="3">
        <f>VLOOKUP(B84,[1]Sheet1!B:N,6,0)</f>
        <v>45649</v>
      </c>
      <c r="F84">
        <v>5</v>
      </c>
      <c r="G84" t="str">
        <f>VLOOKUP(B84,[1]Sheet1!B:N,8,0)</f>
        <v>לוונשטיין טכנולוגיות בע"מ</v>
      </c>
      <c r="H84" t="str">
        <f>VLOOKUP(B84,[1]Sheet1!B:N,5,0)</f>
        <v>01.0215</v>
      </c>
    </row>
    <row r="85" spans="1:8" x14ac:dyDescent="0.3">
      <c r="A85" s="2" t="s">
        <v>36</v>
      </c>
      <c r="B85" t="s">
        <v>138</v>
      </c>
      <c r="C85">
        <f>VLOOKUP(B85,[1]Sheet1!B:N,9,0)</f>
        <v>0.5</v>
      </c>
      <c r="D85" t="str">
        <f>VLOOKUP(B85,[1]Sheet1!B:N,10,0)</f>
        <v>₪</v>
      </c>
      <c r="E85" s="3">
        <f>VLOOKUP(B85,[1]Sheet1!B:N,6,0)</f>
        <v>41312</v>
      </c>
      <c r="F85">
        <v>5</v>
      </c>
      <c r="G85" t="str">
        <f>VLOOKUP(B85,[1]Sheet1!B:N,8,0)</f>
        <v>לוונשטיין טכנולוגיות</v>
      </c>
      <c r="H85" t="str">
        <f>VLOOKUP(B85,[1]Sheet1!B:N,5,0)</f>
        <v>01.0002</v>
      </c>
    </row>
    <row r="86" spans="1:8" x14ac:dyDescent="0.3">
      <c r="A86" s="2" t="s">
        <v>139</v>
      </c>
      <c r="B86" t="s">
        <v>140</v>
      </c>
      <c r="C86">
        <f>VLOOKUP(B86,[1]Sheet1!B:N,9,0)</f>
        <v>8</v>
      </c>
      <c r="D86" t="str">
        <f>VLOOKUP(B86,[1]Sheet1!B:N,10,0)</f>
        <v>₪</v>
      </c>
      <c r="E86" s="3">
        <f>VLOOKUP(B86,[1]Sheet1!B:N,6,0)</f>
        <v>45788</v>
      </c>
      <c r="F86">
        <v>5</v>
      </c>
      <c r="G86" t="str">
        <f>VLOOKUP(B86,[1]Sheet1!B:N,8,0)</f>
        <v>גין מהנדסים בע"מ</v>
      </c>
      <c r="H86" t="str">
        <f>VLOOKUP(B86,[1]Sheet1!B:N,5,0)</f>
        <v>01.0409</v>
      </c>
    </row>
    <row r="87" spans="1:8" x14ac:dyDescent="0.3">
      <c r="A87" s="2" t="s">
        <v>123</v>
      </c>
      <c r="B87" t="s">
        <v>141</v>
      </c>
      <c r="C87">
        <f>VLOOKUP(B87,[1]Sheet1!B:N,9,0)</f>
        <v>7.5</v>
      </c>
      <c r="D87" t="str">
        <f>VLOOKUP(B87,[1]Sheet1!B:N,10,0)</f>
        <v>₪</v>
      </c>
      <c r="E87" s="3">
        <f>VLOOKUP(B87,[1]Sheet1!B:N,6,0)</f>
        <v>46064</v>
      </c>
      <c r="F87">
        <v>5</v>
      </c>
      <c r="G87" t="str">
        <f>VLOOKUP(B87,[1]Sheet1!B:N,8,0)</f>
        <v>ברמיל בע"מ</v>
      </c>
      <c r="H87" t="str">
        <f>VLOOKUP(B87,[1]Sheet1!B:N,5,0)</f>
        <v>01.0536</v>
      </c>
    </row>
    <row r="88" spans="1:8" x14ac:dyDescent="0.3">
      <c r="A88" s="2" t="s">
        <v>142</v>
      </c>
      <c r="B88" t="s">
        <v>143</v>
      </c>
      <c r="C88">
        <f>VLOOKUP(B88,[1]Sheet1!B:N,9,0)</f>
        <v>1.5</v>
      </c>
      <c r="D88" t="str">
        <f>VLOOKUP(B88,[1]Sheet1!B:N,10,0)</f>
        <v>₪</v>
      </c>
      <c r="E88" s="3">
        <f>VLOOKUP(B88,[1]Sheet1!B:N,6,0)</f>
        <v>46049</v>
      </c>
      <c r="F88">
        <v>5</v>
      </c>
      <c r="G88" t="str">
        <f>VLOOKUP(B88,[1]Sheet1!B:N,8,0)</f>
        <v>דר טכנולוגיות בע"מ</v>
      </c>
      <c r="H88" t="str">
        <f>VLOOKUP(B88,[1]Sheet1!B:N,5,0)</f>
        <v>01.0251</v>
      </c>
    </row>
    <row r="89" spans="1:8" x14ac:dyDescent="0.3">
      <c r="A89" s="2" t="s">
        <v>144</v>
      </c>
      <c r="B89" t="s">
        <v>145</v>
      </c>
      <c r="C89">
        <f>VLOOKUP(B89,[1]Sheet1!B:N,9,0)</f>
        <v>0.65</v>
      </c>
      <c r="D89" t="str">
        <f>VLOOKUP(B89,[1]Sheet1!B:N,10,0)</f>
        <v>₪</v>
      </c>
      <c r="E89" s="3">
        <f>VLOOKUP(B89,[1]Sheet1!B:N,6,0)</f>
        <v>46042</v>
      </c>
      <c r="F89">
        <v>5</v>
      </c>
      <c r="G89" t="str">
        <f>VLOOKUP(B89,[1]Sheet1!B:N,8,0)</f>
        <v>דר טכנולוגיות בע"מ</v>
      </c>
      <c r="H89" t="str">
        <f>VLOOKUP(B89,[1]Sheet1!B:N,5,0)</f>
        <v>01.0144</v>
      </c>
    </row>
    <row r="90" spans="1:8" x14ac:dyDescent="0.3">
      <c r="A90" s="2" t="s">
        <v>146</v>
      </c>
      <c r="B90" t="s">
        <v>147</v>
      </c>
      <c r="C90">
        <f>VLOOKUP(B90,[1]Sheet1!B:N,9,0)</f>
        <v>5.8</v>
      </c>
      <c r="D90" t="str">
        <f>VLOOKUP(B90,[1]Sheet1!B:N,10,0)</f>
        <v>₪</v>
      </c>
      <c r="E90" s="3">
        <f>VLOOKUP(B90,[1]Sheet1!B:N,6,0)</f>
        <v>46008</v>
      </c>
      <c r="F90">
        <v>5</v>
      </c>
      <c r="G90" t="str">
        <f>VLOOKUP(B90,[1]Sheet1!B:N,8,0)</f>
        <v>דר טכנולוגיות בע"מ</v>
      </c>
      <c r="H90" t="str">
        <f>VLOOKUP(B90,[1]Sheet1!B:N,5,0)</f>
        <v>01.0436</v>
      </c>
    </row>
    <row r="91" spans="1:8" x14ac:dyDescent="0.3">
      <c r="A91" s="2" t="s">
        <v>148</v>
      </c>
      <c r="B91" t="s">
        <v>149</v>
      </c>
      <c r="C91">
        <f>VLOOKUP(B91,[1]Sheet1!B:N,9,0)</f>
        <v>1.3</v>
      </c>
      <c r="D91" t="str">
        <f>VLOOKUP(B91,[1]Sheet1!B:N,10,0)</f>
        <v>₪</v>
      </c>
      <c r="E91" s="3">
        <f>VLOOKUP(B91,[1]Sheet1!B:N,6,0)</f>
        <v>45420</v>
      </c>
      <c r="F91">
        <v>5</v>
      </c>
      <c r="G91" t="str">
        <f>VLOOKUP(B91,[1]Sheet1!B:N,8,0)</f>
        <v>לוונשטיין טכנולוגיות בע"מ</v>
      </c>
      <c r="H91" t="str">
        <f>VLOOKUP(B91,[1]Sheet1!B:N,5,0)</f>
        <v>01.0159</v>
      </c>
    </row>
    <row r="92" spans="1:8" x14ac:dyDescent="0.3">
      <c r="A92" s="2" t="s">
        <v>150</v>
      </c>
      <c r="B92" t="s">
        <v>151</v>
      </c>
      <c r="C92">
        <f>VLOOKUP(B92,[1]Sheet1!B:N,9,0)</f>
        <v>0.48</v>
      </c>
      <c r="D92" t="str">
        <f>VLOOKUP(B92,[1]Sheet1!B:N,10,0)</f>
        <v>₪</v>
      </c>
      <c r="E92" s="3">
        <f>VLOOKUP(B92,[1]Sheet1!B:N,6,0)</f>
        <v>45972</v>
      </c>
      <c r="F92">
        <v>5</v>
      </c>
      <c r="G92" t="str">
        <f>VLOOKUP(B92,[1]Sheet1!B:N,8,0)</f>
        <v>דר טכנולוגיות בע"מ</v>
      </c>
      <c r="H92" t="str">
        <f>VLOOKUP(B92,[1]Sheet1!B:N,5,0)</f>
        <v>01.0062</v>
      </c>
    </row>
    <row r="93" spans="1:8" x14ac:dyDescent="0.3">
      <c r="A93" s="2" t="s">
        <v>152</v>
      </c>
      <c r="B93" t="s">
        <v>153</v>
      </c>
      <c r="C93">
        <f>VLOOKUP(B93,[1]Sheet1!B:N,9,0)</f>
        <v>0.15</v>
      </c>
      <c r="D93" t="str">
        <f>VLOOKUP(B93,[1]Sheet1!B:N,10,0)</f>
        <v>₪</v>
      </c>
      <c r="E93" s="3">
        <f>VLOOKUP(B93,[1]Sheet1!B:N,6,0)</f>
        <v>41239</v>
      </c>
      <c r="F93">
        <v>5</v>
      </c>
      <c r="G93" t="str">
        <f>VLOOKUP(B93,[1]Sheet1!B:N,8,0)</f>
        <v>גין מהנדסים בע"מ</v>
      </c>
      <c r="H93" t="str">
        <f>VLOOKUP(B93,[1]Sheet1!B:N,5,0)</f>
        <v>01.0248</v>
      </c>
    </row>
    <row r="94" spans="1:8" x14ac:dyDescent="0.3">
      <c r="A94" s="2" t="s">
        <v>154</v>
      </c>
      <c r="B94" t="s">
        <v>155</v>
      </c>
      <c r="C94">
        <f>VLOOKUP(B94,[1]Sheet1!B:N,9,0)</f>
        <v>0.4</v>
      </c>
      <c r="D94" t="str">
        <f>VLOOKUP(B94,[1]Sheet1!B:N,10,0)</f>
        <v>₪</v>
      </c>
      <c r="E94" s="3">
        <f>VLOOKUP(B94,[1]Sheet1!B:N,6,0)</f>
        <v>41239</v>
      </c>
      <c r="F94">
        <v>5</v>
      </c>
      <c r="G94" t="str">
        <f>VLOOKUP(B94,[1]Sheet1!B:N,8,0)</f>
        <v>גין מהנדסים בע"מ</v>
      </c>
      <c r="H94" t="str">
        <f>VLOOKUP(B94,[1]Sheet1!B:N,5,0)</f>
        <v>01.0245</v>
      </c>
    </row>
    <row r="95" spans="1:8" x14ac:dyDescent="0.3">
      <c r="A95" s="2"/>
      <c r="B95" t="s">
        <v>156</v>
      </c>
      <c r="C95">
        <f>VLOOKUP(B95,[1]Sheet1!B:N,9,0)</f>
        <v>0.51980000000000004</v>
      </c>
      <c r="D95" t="str">
        <f>VLOOKUP(B95,[1]Sheet1!B:N,10,0)</f>
        <v>₪</v>
      </c>
      <c r="E95" s="3">
        <f>VLOOKUP(B95,[1]Sheet1!B:N,6,0)</f>
        <v>45278</v>
      </c>
      <c r="F95">
        <v>4</v>
      </c>
      <c r="G95" t="str">
        <f>VLOOKUP(B95,[1]Sheet1!B:N,8,0)</f>
        <v>לוונשטיין טכנולוגיות בע"מ</v>
      </c>
      <c r="H95" t="str">
        <f>VLOOKUP(B95,[1]Sheet1!B:N,5,0)</f>
        <v>01.0130</v>
      </c>
    </row>
    <row r="96" spans="1:8" x14ac:dyDescent="0.3">
      <c r="A96" s="2"/>
      <c r="B96" t="s">
        <v>157</v>
      </c>
      <c r="C96">
        <f>VLOOKUP(B96,[1]Sheet1!B:N,9,0)</f>
        <v>0.44</v>
      </c>
      <c r="D96" t="str">
        <f>VLOOKUP(B96,[1]Sheet1!B:N,10,0)</f>
        <v>₪</v>
      </c>
      <c r="E96" s="3">
        <f>VLOOKUP(B96,[1]Sheet1!B:N,6,0)</f>
        <v>45900</v>
      </c>
      <c r="F96">
        <v>4</v>
      </c>
      <c r="G96" t="str">
        <f>VLOOKUP(B96,[1]Sheet1!B:N,8,0)</f>
        <v>דר טכנולוגיות בע"מ</v>
      </c>
      <c r="H96" t="str">
        <f>VLOOKUP(B96,[1]Sheet1!B:N,5,0)</f>
        <v>01.0053</v>
      </c>
    </row>
    <row r="97" spans="1:8" x14ac:dyDescent="0.3">
      <c r="A97" s="2"/>
      <c r="B97" t="s">
        <v>158</v>
      </c>
      <c r="C97">
        <f>VLOOKUP(B97,[1]Sheet1!B:N,9,0)</f>
        <v>0.5</v>
      </c>
      <c r="D97" t="str">
        <f>VLOOKUP(B97,[1]Sheet1!B:N,10,0)</f>
        <v>₪</v>
      </c>
      <c r="E97" s="3">
        <f>VLOOKUP(B97,[1]Sheet1!B:N,6,0)</f>
        <v>45908</v>
      </c>
      <c r="F97">
        <v>4</v>
      </c>
      <c r="G97" t="str">
        <f>VLOOKUP(B97,[1]Sheet1!B:N,8,0)</f>
        <v>דר טכנולוגיות בע"מ</v>
      </c>
      <c r="H97" t="str">
        <f>VLOOKUP(B97,[1]Sheet1!B:N,5,0)</f>
        <v>01.0064</v>
      </c>
    </row>
    <row r="98" spans="1:8" x14ac:dyDescent="0.3">
      <c r="A98" s="2"/>
      <c r="B98" t="s">
        <v>159</v>
      </c>
      <c r="C98">
        <f>VLOOKUP(B98,[1]Sheet1!B:N,9,0)</f>
        <v>1.2</v>
      </c>
      <c r="D98" t="str">
        <f>VLOOKUP(B98,[1]Sheet1!B:N,10,0)</f>
        <v>₪</v>
      </c>
      <c r="E98" s="3">
        <f>VLOOKUP(B98,[1]Sheet1!B:N,6,0)</f>
        <v>45489</v>
      </c>
      <c r="F98">
        <v>4</v>
      </c>
      <c r="G98" t="str">
        <f>VLOOKUP(B98,[1]Sheet1!B:N,8,0)</f>
        <v>לוונשטיין טכנולוגיות בע"מ</v>
      </c>
      <c r="H98" t="str">
        <f>VLOOKUP(B98,[1]Sheet1!B:N,5,0)</f>
        <v>01.0063</v>
      </c>
    </row>
    <row r="99" spans="1:8" x14ac:dyDescent="0.3">
      <c r="A99" s="2"/>
      <c r="B99" t="s">
        <v>160</v>
      </c>
      <c r="C99">
        <f>VLOOKUP(B99,[1]Sheet1!B:N,9,0)</f>
        <v>0.48</v>
      </c>
      <c r="D99" t="str">
        <f>VLOOKUP(B99,[1]Sheet1!B:N,10,0)</f>
        <v>₪</v>
      </c>
      <c r="E99" s="3">
        <f>VLOOKUP(B99,[1]Sheet1!B:N,6,0)</f>
        <v>44179</v>
      </c>
      <c r="F99">
        <v>4</v>
      </c>
      <c r="G99" t="str">
        <f>VLOOKUP(B99,[1]Sheet1!B:N,8,0)</f>
        <v>דר טכנולוגיות בע"מ</v>
      </c>
      <c r="H99" t="str">
        <f>VLOOKUP(B99,[1]Sheet1!B:N,5,0)</f>
        <v>01.0130</v>
      </c>
    </row>
    <row r="100" spans="1:8" x14ac:dyDescent="0.3">
      <c r="A100" s="2"/>
      <c r="B100" t="s">
        <v>161</v>
      </c>
      <c r="C100">
        <f>VLOOKUP(B100,[1]Sheet1!B:N,9,0)</f>
        <v>0.55000000000000004</v>
      </c>
      <c r="D100" t="str">
        <f>VLOOKUP(B100,[1]Sheet1!B:N,10,0)</f>
        <v>₪</v>
      </c>
      <c r="E100" s="3">
        <f>VLOOKUP(B100,[1]Sheet1!B:N,6,0)</f>
        <v>43705</v>
      </c>
      <c r="F100">
        <v>4</v>
      </c>
      <c r="G100" t="str">
        <f>VLOOKUP(B100,[1]Sheet1!B:N,8,0)</f>
        <v>לוונשטיין טכנולוגיות</v>
      </c>
      <c r="H100" t="str">
        <f>VLOOKUP(B100,[1]Sheet1!B:N,5,0)</f>
        <v>01.0046</v>
      </c>
    </row>
    <row r="101" spans="1:8" x14ac:dyDescent="0.3">
      <c r="A101" s="2"/>
      <c r="B101" t="s">
        <v>162</v>
      </c>
      <c r="C101">
        <f>VLOOKUP(B101,[1]Sheet1!B:N,9,0)</f>
        <v>15</v>
      </c>
      <c r="D101" t="str">
        <f>VLOOKUP(B101,[1]Sheet1!B:N,10,0)</f>
        <v>₪</v>
      </c>
      <c r="E101" s="3">
        <f>VLOOKUP(B101,[1]Sheet1!B:N,6,0)</f>
        <v>45448</v>
      </c>
      <c r="F101">
        <v>4</v>
      </c>
      <c r="G101" t="str">
        <f>VLOOKUP(B101,[1]Sheet1!B:N,8,0)</f>
        <v>גין מהנדסים בע"מ</v>
      </c>
      <c r="H101" t="str">
        <f>VLOOKUP(B101,[1]Sheet1!B:N,5,0)</f>
        <v>01.0259</v>
      </c>
    </row>
    <row r="102" spans="1:8" x14ac:dyDescent="0.3">
      <c r="A102" s="2"/>
      <c r="B102" t="s">
        <v>163</v>
      </c>
      <c r="C102">
        <f>VLOOKUP(B102,[1]Sheet1!B:N,9,0)</f>
        <v>185</v>
      </c>
      <c r="D102" t="str">
        <f>VLOOKUP(B102,[1]Sheet1!B:N,10,0)</f>
        <v>₪</v>
      </c>
      <c r="E102" s="3">
        <f>VLOOKUP(B102,[1]Sheet1!B:N,6,0)</f>
        <v>45495</v>
      </c>
      <c r="F102">
        <v>4</v>
      </c>
      <c r="G102" t="str">
        <f>VLOOKUP(B102,[1]Sheet1!B:N,8,0)</f>
        <v>מאור גבריאלי הספקה ט</v>
      </c>
      <c r="H102" t="str">
        <f>VLOOKUP(B102,[1]Sheet1!B:N,5,0)</f>
        <v>01.0513</v>
      </c>
    </row>
    <row r="103" spans="1:8" x14ac:dyDescent="0.3">
      <c r="A103" s="2"/>
      <c r="B103" t="s">
        <v>164</v>
      </c>
      <c r="C103">
        <f>VLOOKUP(B103,[1]Sheet1!B:N,9,0)</f>
        <v>0.65</v>
      </c>
      <c r="D103" t="str">
        <f>VLOOKUP(B103,[1]Sheet1!B:N,10,0)</f>
        <v>₪</v>
      </c>
      <c r="E103" s="3">
        <f>VLOOKUP(B103,[1]Sheet1!B:N,6,0)</f>
        <v>45278</v>
      </c>
      <c r="F103">
        <v>4</v>
      </c>
      <c r="G103" t="str">
        <f>VLOOKUP(B103,[1]Sheet1!B:N,8,0)</f>
        <v>לוונשטיין טכנולוגיות בע"מ</v>
      </c>
      <c r="H103" t="str">
        <f>VLOOKUP(B103,[1]Sheet1!B:N,5,0)</f>
        <v>01.0449</v>
      </c>
    </row>
    <row r="104" spans="1:8" x14ac:dyDescent="0.3">
      <c r="A104" s="2"/>
      <c r="B104" t="s">
        <v>165</v>
      </c>
      <c r="C104">
        <f>VLOOKUP(B104,[1]Sheet1!B:N,9,0)</f>
        <v>0.55000000000000004</v>
      </c>
      <c r="D104" t="str">
        <f>VLOOKUP(B104,[1]Sheet1!B:N,10,0)</f>
        <v>₪</v>
      </c>
      <c r="E104" s="3">
        <f>VLOOKUP(B104,[1]Sheet1!B:N,6,0)</f>
        <v>46084.436832986117</v>
      </c>
      <c r="F104">
        <v>4</v>
      </c>
      <c r="G104" t="str">
        <f>VLOOKUP(B104,[1]Sheet1!B:N,8,0)</f>
        <v>דר טכנולוגיות בע"מ</v>
      </c>
      <c r="H104" t="str">
        <f>VLOOKUP(B104,[1]Sheet1!B:N,5,0)</f>
        <v>01.0732</v>
      </c>
    </row>
    <row r="105" spans="1:8" x14ac:dyDescent="0.3">
      <c r="A105" s="2"/>
      <c r="B105" t="s">
        <v>166</v>
      </c>
      <c r="C105">
        <f>VLOOKUP(B105,[1]Sheet1!B:N,9,0)</f>
        <v>1</v>
      </c>
      <c r="D105" t="str">
        <f>VLOOKUP(B105,[1]Sheet1!B:N,10,0)</f>
        <v>₪</v>
      </c>
      <c r="E105" s="3">
        <f>VLOOKUP(B105,[1]Sheet1!B:N,6,0)</f>
        <v>45420</v>
      </c>
      <c r="F105">
        <v>4</v>
      </c>
      <c r="G105" t="str">
        <f>VLOOKUP(B105,[1]Sheet1!B:N,8,0)</f>
        <v>לוונשטיין טכנולוגיות בע"מ</v>
      </c>
      <c r="H105" t="str">
        <f>VLOOKUP(B105,[1]Sheet1!B:N,5,0)</f>
        <v>01.0187</v>
      </c>
    </row>
    <row r="106" spans="1:8" x14ac:dyDescent="0.3">
      <c r="A106" s="2"/>
      <c r="B106" t="s">
        <v>167</v>
      </c>
      <c r="C106">
        <f>VLOOKUP(B106,[1]Sheet1!B:N,9,0)</f>
        <v>2</v>
      </c>
      <c r="D106" t="str">
        <f>VLOOKUP(B106,[1]Sheet1!B:N,10,0)</f>
        <v>₪</v>
      </c>
      <c r="E106" s="3">
        <f>VLOOKUP(B106,[1]Sheet1!B:N,6,0)</f>
        <v>45595</v>
      </c>
      <c r="F106">
        <v>4</v>
      </c>
      <c r="G106" t="str">
        <f>VLOOKUP(B106,[1]Sheet1!B:N,8,0)</f>
        <v>דר טכנולוגיות בע"מ</v>
      </c>
      <c r="H106" t="str">
        <f>VLOOKUP(B106,[1]Sheet1!B:N,5,0)</f>
        <v>01.0674</v>
      </c>
    </row>
    <row r="107" spans="1:8" x14ac:dyDescent="0.3">
      <c r="A107" s="2"/>
      <c r="B107" t="s">
        <v>168</v>
      </c>
      <c r="C107">
        <f>VLOOKUP(B107,[1]Sheet1!B:N,9,0)</f>
        <v>1.45</v>
      </c>
      <c r="D107" t="str">
        <f>VLOOKUP(B107,[1]Sheet1!B:N,10,0)</f>
        <v>₪</v>
      </c>
      <c r="E107" s="3">
        <f>VLOOKUP(B107,[1]Sheet1!B:N,6,0)</f>
        <v>41252</v>
      </c>
      <c r="F107">
        <v>4</v>
      </c>
      <c r="G107" t="str">
        <f>VLOOKUP(B107,[1]Sheet1!B:N,8,0)</f>
        <v>לוונשטיין טכנולוגיות</v>
      </c>
      <c r="H107" t="str">
        <f>VLOOKUP(B107,[1]Sheet1!B:N,5,0)</f>
        <v>01.0103</v>
      </c>
    </row>
    <row r="108" spans="1:8" x14ac:dyDescent="0.3">
      <c r="A108" s="2"/>
      <c r="B108" t="s">
        <v>169</v>
      </c>
      <c r="C108">
        <f>VLOOKUP(B108,[1]Sheet1!B:N,9,0)</f>
        <v>10.55</v>
      </c>
      <c r="D108" t="str">
        <f>VLOOKUP(B108,[1]Sheet1!B:N,10,0)</f>
        <v>₪</v>
      </c>
      <c r="E108" s="3">
        <f>VLOOKUP(B108,[1]Sheet1!B:N,6,0)</f>
        <v>45664</v>
      </c>
      <c r="F108">
        <v>4</v>
      </c>
      <c r="G108" t="str">
        <f>VLOOKUP(B108,[1]Sheet1!B:N,8,0)</f>
        <v>ברמיל בע"מ</v>
      </c>
      <c r="H108" t="str">
        <f>VLOOKUP(B108,[1]Sheet1!B:N,5,0)</f>
        <v>01.0255</v>
      </c>
    </row>
    <row r="109" spans="1:8" x14ac:dyDescent="0.3">
      <c r="A109" s="2"/>
      <c r="B109" t="s">
        <v>170</v>
      </c>
      <c r="C109">
        <f>VLOOKUP(B109,[1]Sheet1!B:N,9,0)</f>
        <v>6.9</v>
      </c>
      <c r="D109" t="str">
        <f>VLOOKUP(B109,[1]Sheet1!B:N,10,0)</f>
        <v>₪</v>
      </c>
      <c r="E109" s="3">
        <f>VLOOKUP(B109,[1]Sheet1!B:N,6,0)</f>
        <v>44874</v>
      </c>
      <c r="F109">
        <v>4</v>
      </c>
      <c r="G109" t="str">
        <f>VLOOKUP(B109,[1]Sheet1!B:N,8,0)</f>
        <v>לוונשטיין טכנולוגיות בע"מ</v>
      </c>
      <c r="H109" t="str">
        <f>VLOOKUP(B109,[1]Sheet1!B:N,5,0)</f>
        <v>01.0438</v>
      </c>
    </row>
    <row r="110" spans="1:8" x14ac:dyDescent="0.3">
      <c r="A110" s="2"/>
      <c r="B110" t="s">
        <v>171</v>
      </c>
      <c r="C110">
        <f>VLOOKUP(B110,[1]Sheet1!B:N,9,0)</f>
        <v>161.69999999999999</v>
      </c>
      <c r="D110" t="str">
        <f>VLOOKUP(B110,[1]Sheet1!B:N,10,0)</f>
        <v>₪</v>
      </c>
      <c r="E110" s="3">
        <f>VLOOKUP(B110,[1]Sheet1!B:N,6,0)</f>
        <v>45697</v>
      </c>
      <c r="F110">
        <v>4</v>
      </c>
      <c r="G110" t="str">
        <f>VLOOKUP(B110,[1]Sheet1!B:N,8,0)</f>
        <v>לוונשטיין טכנולוגיות בע"מ</v>
      </c>
      <c r="H110" t="str">
        <f>VLOOKUP(B110,[1]Sheet1!B:N,5,0)</f>
        <v>01.0216</v>
      </c>
    </row>
    <row r="111" spans="1:8" x14ac:dyDescent="0.3">
      <c r="A111" s="2" t="s">
        <v>172</v>
      </c>
      <c r="B111" t="s">
        <v>173</v>
      </c>
      <c r="C111">
        <f>VLOOKUP(B111,[1]Sheet1!B:N,9,0)</f>
        <v>0.48</v>
      </c>
      <c r="D111" t="str">
        <f>VLOOKUP(B111,[1]Sheet1!B:N,10,0)</f>
        <v>₪</v>
      </c>
      <c r="E111" s="3">
        <f>VLOOKUP(B111,[1]Sheet1!B:N,6,0)</f>
        <v>45917</v>
      </c>
      <c r="F111">
        <v>4</v>
      </c>
      <c r="G111" t="str">
        <f>VLOOKUP(B111,[1]Sheet1!B:N,8,0)</f>
        <v>דר טכנולוגיות בע"מ</v>
      </c>
      <c r="H111" t="str">
        <f>VLOOKUP(B111,[1]Sheet1!B:N,5,0)</f>
        <v>01.0293</v>
      </c>
    </row>
    <row r="112" spans="1:8" x14ac:dyDescent="0.3">
      <c r="A112" s="2" t="s">
        <v>174</v>
      </c>
      <c r="B112" t="s">
        <v>175</v>
      </c>
      <c r="C112">
        <f>VLOOKUP(B112,[1]Sheet1!B:N,9,0)</f>
        <v>3.5</v>
      </c>
      <c r="D112" t="str">
        <f>VLOOKUP(B112,[1]Sheet1!B:N,10,0)</f>
        <v>₪</v>
      </c>
      <c r="E112" s="3">
        <f>VLOOKUP(B112,[1]Sheet1!B:N,6,0)</f>
        <v>44391</v>
      </c>
      <c r="F112">
        <v>4</v>
      </c>
      <c r="G112" t="str">
        <f>VLOOKUP(B112,[1]Sheet1!B:N,8,0)</f>
        <v>גין מהנדסים בע"מ</v>
      </c>
      <c r="H112" t="str">
        <f>VLOOKUP(B112,[1]Sheet1!B:N,5,0)</f>
        <v>01.0199</v>
      </c>
    </row>
    <row r="113" spans="1:8" x14ac:dyDescent="0.3">
      <c r="A113" s="2" t="s">
        <v>118</v>
      </c>
      <c r="B113" t="s">
        <v>127</v>
      </c>
      <c r="C113">
        <f>VLOOKUP(B113,[1]Sheet1!B:N,9,0)</f>
        <v>0.75</v>
      </c>
      <c r="D113" t="str">
        <f>VLOOKUP(B113,[1]Sheet1!B:N,10,0)</f>
        <v>₪</v>
      </c>
      <c r="E113" s="3">
        <f>VLOOKUP(B113,[1]Sheet1!B:N,6,0)</f>
        <v>45894</v>
      </c>
      <c r="F113">
        <v>4</v>
      </c>
      <c r="G113" t="str">
        <f>VLOOKUP(B113,[1]Sheet1!B:N,8,0)</f>
        <v>לוונשטיין טכנולוגיות בע"מ</v>
      </c>
      <c r="H113" t="str">
        <f>VLOOKUP(B113,[1]Sheet1!B:N,5,0)</f>
        <v>01.0009</v>
      </c>
    </row>
    <row r="114" spans="1:8" x14ac:dyDescent="0.3">
      <c r="A114" s="2" t="s">
        <v>176</v>
      </c>
      <c r="B114" t="s">
        <v>177</v>
      </c>
      <c r="C114">
        <f>VLOOKUP(B114,[1]Sheet1!B:N,9,0)</f>
        <v>26</v>
      </c>
      <c r="D114" t="str">
        <f>VLOOKUP(B114,[1]Sheet1!B:N,10,0)</f>
        <v>₪</v>
      </c>
      <c r="E114" s="3">
        <f>VLOOKUP(B114,[1]Sheet1!B:N,6,0)</f>
        <v>43762</v>
      </c>
      <c r="F114">
        <v>4</v>
      </c>
      <c r="G114" t="str">
        <f>VLOOKUP(B114,[1]Sheet1!B:N,8,0)</f>
        <v>גין מהנדסים בע"מ</v>
      </c>
      <c r="H114" t="str">
        <f>VLOOKUP(B114,[1]Sheet1!B:N,5,0)</f>
        <v>01.0015</v>
      </c>
    </row>
    <row r="115" spans="1:8" x14ac:dyDescent="0.3">
      <c r="A115" s="2" t="s">
        <v>178</v>
      </c>
      <c r="B115" t="s">
        <v>179</v>
      </c>
      <c r="C115">
        <f>VLOOKUP(B115,[1]Sheet1!B:N,9,0)</f>
        <v>7.75</v>
      </c>
      <c r="D115" t="str">
        <f>VLOOKUP(B115,[1]Sheet1!B:N,10,0)</f>
        <v>₪</v>
      </c>
      <c r="E115" s="3">
        <f>VLOOKUP(B115,[1]Sheet1!B:N,6,0)</f>
        <v>46013</v>
      </c>
      <c r="F115">
        <v>4</v>
      </c>
      <c r="G115" t="str">
        <f>VLOOKUP(B115,[1]Sheet1!B:N,8,0)</f>
        <v>גין מהנדסים בע"מ</v>
      </c>
      <c r="H115" t="str">
        <f>VLOOKUP(B115,[1]Sheet1!B:N,5,0)</f>
        <v>01.0201</v>
      </c>
    </row>
    <row r="116" spans="1:8" x14ac:dyDescent="0.3">
      <c r="A116" s="2" t="s">
        <v>180</v>
      </c>
      <c r="B116" t="s">
        <v>181</v>
      </c>
      <c r="C116">
        <f>VLOOKUP(B116,[1]Sheet1!B:N,9,0)</f>
        <v>8.7899999999999991</v>
      </c>
      <c r="D116" t="str">
        <f>VLOOKUP(B116,[1]Sheet1!B:N,10,0)</f>
        <v>₪</v>
      </c>
      <c r="E116" s="3">
        <f>VLOOKUP(B116,[1]Sheet1!B:N,6,0)</f>
        <v>45874</v>
      </c>
      <c r="F116">
        <v>4</v>
      </c>
      <c r="G116" t="str">
        <f>VLOOKUP(B116,[1]Sheet1!B:N,8,0)</f>
        <v>גין מהנדסים בע"מ</v>
      </c>
      <c r="H116" t="str">
        <f>VLOOKUP(B116,[1]Sheet1!B:N,5,0)</f>
        <v>01.0432</v>
      </c>
    </row>
    <row r="117" spans="1:8" x14ac:dyDescent="0.3">
      <c r="A117" s="2" t="s">
        <v>182</v>
      </c>
      <c r="B117" t="s">
        <v>183</v>
      </c>
      <c r="C117">
        <f>VLOOKUP(B117,[1]Sheet1!B:N,9,0)</f>
        <v>0.57069999999999999</v>
      </c>
      <c r="D117" t="str">
        <f>VLOOKUP(B117,[1]Sheet1!B:N,10,0)</f>
        <v>₪</v>
      </c>
      <c r="E117" s="3">
        <f>VLOOKUP(B117,[1]Sheet1!B:N,6,0)</f>
        <v>45125</v>
      </c>
      <c r="F117">
        <v>4</v>
      </c>
      <c r="G117" t="str">
        <f>VLOOKUP(B117,[1]Sheet1!B:N,8,0)</f>
        <v>לוונשטיין טכנולוגיות בע"מ</v>
      </c>
      <c r="H117" t="str">
        <f>VLOOKUP(B117,[1]Sheet1!B:N,5,0)</f>
        <v>01.0110</v>
      </c>
    </row>
    <row r="118" spans="1:8" x14ac:dyDescent="0.3">
      <c r="A118" s="2" t="s">
        <v>56</v>
      </c>
      <c r="B118" t="s">
        <v>184</v>
      </c>
      <c r="C118">
        <f>VLOOKUP(B118,[1]Sheet1!B:N,9,0)</f>
        <v>6.9</v>
      </c>
      <c r="D118" t="str">
        <f>VLOOKUP(B118,[1]Sheet1!B:N,10,0)</f>
        <v>₪</v>
      </c>
      <c r="E118" s="3">
        <f>VLOOKUP(B118,[1]Sheet1!B:N,6,0)</f>
        <v>45999</v>
      </c>
      <c r="F118">
        <v>4</v>
      </c>
      <c r="G118" t="str">
        <f>VLOOKUP(B118,[1]Sheet1!B:N,8,0)</f>
        <v>גין מהנדסים בע"מ</v>
      </c>
      <c r="H118" t="str">
        <f>VLOOKUP(B118,[1]Sheet1!B:N,5,0)</f>
        <v>01.0013</v>
      </c>
    </row>
    <row r="119" spans="1:8" x14ac:dyDescent="0.3">
      <c r="A119" s="2" t="s">
        <v>185</v>
      </c>
      <c r="B119" t="s">
        <v>186</v>
      </c>
      <c r="C119">
        <f>VLOOKUP(B119,[1]Sheet1!B:N,9,0)</f>
        <v>0</v>
      </c>
      <c r="D119" t="str">
        <f>VLOOKUP(B119,[1]Sheet1!B:N,10,0)</f>
        <v>₪</v>
      </c>
      <c r="E119" s="3">
        <f>VLOOKUP(B119,[1]Sheet1!B:N,6,0)</f>
        <v>43692</v>
      </c>
      <c r="F119">
        <v>4</v>
      </c>
      <c r="G119" t="str">
        <f>VLOOKUP(B119,[1]Sheet1!B:N,8,0)</f>
        <v>גין מהנדסים בע"מ</v>
      </c>
      <c r="H119" t="str">
        <f>VLOOKUP(B119,[1]Sheet1!B:N,5,0)</f>
        <v>01.0205</v>
      </c>
    </row>
    <row r="120" spans="1:8" x14ac:dyDescent="0.3">
      <c r="A120" s="2" t="s">
        <v>187</v>
      </c>
      <c r="B120" t="s">
        <v>21</v>
      </c>
      <c r="C120">
        <f>VLOOKUP(B120,[1]Sheet1!B:N,9,0)</f>
        <v>6.3</v>
      </c>
      <c r="D120" t="str">
        <f>VLOOKUP(B120,[1]Sheet1!B:N,10,0)</f>
        <v>₪</v>
      </c>
      <c r="E120" s="3">
        <f>VLOOKUP(B120,[1]Sheet1!B:N,6,0)</f>
        <v>45917</v>
      </c>
      <c r="F120">
        <v>4</v>
      </c>
      <c r="G120" t="str">
        <f>VLOOKUP(B120,[1]Sheet1!B:N,8,0)</f>
        <v>דר טכנולוגיות בע"מ</v>
      </c>
      <c r="H120" t="str">
        <f>VLOOKUP(B120,[1]Sheet1!B:N,5,0)</f>
        <v>01.0004</v>
      </c>
    </row>
    <row r="121" spans="1:8" x14ac:dyDescent="0.3">
      <c r="A121" s="2"/>
      <c r="B121" t="s">
        <v>188</v>
      </c>
      <c r="C121">
        <f>VLOOKUP(B121,[1]Sheet1!B:N,9,0)</f>
        <v>0.6</v>
      </c>
      <c r="D121" t="str">
        <f>VLOOKUP(B121,[1]Sheet1!B:N,10,0)</f>
        <v>₪</v>
      </c>
      <c r="E121" s="3">
        <f>VLOOKUP(B121,[1]Sheet1!B:N,6,0)</f>
        <v>45767</v>
      </c>
      <c r="F121">
        <v>3</v>
      </c>
      <c r="G121" t="str">
        <f>VLOOKUP(B121,[1]Sheet1!B:N,8,0)</f>
        <v>דר טכנולוגיות בע"מ</v>
      </c>
      <c r="H121" t="str">
        <f>VLOOKUP(B121,[1]Sheet1!B:N,5,0)</f>
        <v>01.0654</v>
      </c>
    </row>
    <row r="122" spans="1:8" x14ac:dyDescent="0.3">
      <c r="A122" s="2"/>
      <c r="B122" t="s">
        <v>189</v>
      </c>
      <c r="C122">
        <f>VLOOKUP(B122,[1]Sheet1!B:N,9,0)</f>
        <v>0.52</v>
      </c>
      <c r="D122" t="str">
        <f>VLOOKUP(B122,[1]Sheet1!B:N,10,0)</f>
        <v>₪</v>
      </c>
      <c r="E122" s="3">
        <f>VLOOKUP(B122,[1]Sheet1!B:N,6,0)</f>
        <v>45662</v>
      </c>
      <c r="F122">
        <v>3</v>
      </c>
      <c r="G122" t="str">
        <f>VLOOKUP(B122,[1]Sheet1!B:N,8,0)</f>
        <v>לוונשטיין טכנולוגיות בע"מ</v>
      </c>
      <c r="H122" t="str">
        <f>VLOOKUP(B122,[1]Sheet1!B:N,5,0)</f>
        <v>01.0283</v>
      </c>
    </row>
    <row r="123" spans="1:8" x14ac:dyDescent="0.3">
      <c r="A123" s="2"/>
      <c r="B123" t="s">
        <v>190</v>
      </c>
      <c r="C123">
        <f>VLOOKUP(B123,[1]Sheet1!B:N,9,0)</f>
        <v>0.5</v>
      </c>
      <c r="D123" t="str">
        <f>VLOOKUP(B123,[1]Sheet1!B:N,10,0)</f>
        <v>₪</v>
      </c>
      <c r="E123" s="3">
        <f>VLOOKUP(B123,[1]Sheet1!B:N,6,0)</f>
        <v>45992</v>
      </c>
      <c r="F123">
        <v>3</v>
      </c>
      <c r="G123" t="str">
        <f>VLOOKUP(B123,[1]Sheet1!B:N,8,0)</f>
        <v>דר טכנולוגיות בע"מ</v>
      </c>
      <c r="H123" t="str">
        <f>VLOOKUP(B123,[1]Sheet1!B:N,5,0)</f>
        <v>01.0425</v>
      </c>
    </row>
    <row r="124" spans="1:8" x14ac:dyDescent="0.3">
      <c r="A124" s="2"/>
      <c r="B124" t="s">
        <v>191</v>
      </c>
      <c r="C124">
        <f>VLOOKUP(B124,[1]Sheet1!B:N,9,0)</f>
        <v>0.6</v>
      </c>
      <c r="D124" t="str">
        <f>VLOOKUP(B124,[1]Sheet1!B:N,10,0)</f>
        <v>₪</v>
      </c>
      <c r="E124" s="3">
        <f>VLOOKUP(B124,[1]Sheet1!B:N,6,0)</f>
        <v>44378</v>
      </c>
      <c r="F124">
        <v>3</v>
      </c>
      <c r="G124" t="str">
        <f>VLOOKUP(B124,[1]Sheet1!B:N,8,0)</f>
        <v>לוונשטיין טכנולוגיות</v>
      </c>
      <c r="H124" t="str">
        <f>VLOOKUP(B124,[1]Sheet1!B:N,5,0)</f>
        <v>01.0441</v>
      </c>
    </row>
    <row r="125" spans="1:8" x14ac:dyDescent="0.3">
      <c r="A125" s="2"/>
      <c r="B125" t="s">
        <v>192</v>
      </c>
      <c r="C125">
        <f>VLOOKUP(B125,[1]Sheet1!B:N,9,0)</f>
        <v>0.75</v>
      </c>
      <c r="D125" t="str">
        <f>VLOOKUP(B125,[1]Sheet1!B:N,10,0)</f>
        <v>₪</v>
      </c>
      <c r="E125" s="3">
        <f>VLOOKUP(B125,[1]Sheet1!B:N,6,0)</f>
        <v>45518</v>
      </c>
      <c r="F125">
        <v>3</v>
      </c>
      <c r="G125" t="str">
        <f>VLOOKUP(B125,[1]Sheet1!B:N,8,0)</f>
        <v>לוונשטיין טכנולוגיות בע"מ</v>
      </c>
      <c r="H125" t="str">
        <f>VLOOKUP(B125,[1]Sheet1!B:N,5,0)</f>
        <v>01.0332</v>
      </c>
    </row>
    <row r="126" spans="1:8" x14ac:dyDescent="0.3">
      <c r="A126" s="2"/>
      <c r="B126" t="s">
        <v>193</v>
      </c>
      <c r="C126">
        <f>VLOOKUP(B126,[1]Sheet1!B:N,9,0)</f>
        <v>1.4</v>
      </c>
      <c r="D126" t="str">
        <f>VLOOKUP(B126,[1]Sheet1!B:N,10,0)</f>
        <v>₪</v>
      </c>
      <c r="E126" s="3">
        <f>VLOOKUP(B126,[1]Sheet1!B:N,6,0)</f>
        <v>45704</v>
      </c>
      <c r="F126">
        <v>3</v>
      </c>
      <c r="G126" t="str">
        <f>VLOOKUP(B126,[1]Sheet1!B:N,8,0)</f>
        <v>לוונשטיין טכנולוגיות בע"מ</v>
      </c>
      <c r="H126" t="str">
        <f>VLOOKUP(B126,[1]Sheet1!B:N,5,0)</f>
        <v>01.0672</v>
      </c>
    </row>
    <row r="127" spans="1:8" x14ac:dyDescent="0.3">
      <c r="A127" s="2"/>
      <c r="B127" t="s">
        <v>194</v>
      </c>
      <c r="C127">
        <f>VLOOKUP(B127,[1]Sheet1!B:N,9,0)</f>
        <v>0.42</v>
      </c>
      <c r="D127" t="str">
        <f>VLOOKUP(B127,[1]Sheet1!B:N,10,0)</f>
        <v>₪</v>
      </c>
      <c r="E127" s="3">
        <f>VLOOKUP(B127,[1]Sheet1!B:N,6,0)</f>
        <v>45985</v>
      </c>
      <c r="F127">
        <v>3</v>
      </c>
      <c r="G127" t="str">
        <f>VLOOKUP(B127,[1]Sheet1!B:N,8,0)</f>
        <v>דר טכנולוגיות בע"מ</v>
      </c>
      <c r="H127" t="str">
        <f>VLOOKUP(B127,[1]Sheet1!B:N,5,0)</f>
        <v>01.0336</v>
      </c>
    </row>
    <row r="128" spans="1:8" x14ac:dyDescent="0.3">
      <c r="A128" s="2"/>
      <c r="B128" t="s">
        <v>195</v>
      </c>
      <c r="C128">
        <f>VLOOKUP(B128,[1]Sheet1!B:N,9,0)</f>
        <v>0.6</v>
      </c>
      <c r="D128" t="str">
        <f>VLOOKUP(B128,[1]Sheet1!B:N,10,0)</f>
        <v>₪</v>
      </c>
      <c r="E128" s="3">
        <f>VLOOKUP(B128,[1]Sheet1!B:N,6,0)</f>
        <v>45530</v>
      </c>
      <c r="F128">
        <v>3</v>
      </c>
      <c r="G128" t="str">
        <f>VLOOKUP(B128,[1]Sheet1!B:N,8,0)</f>
        <v>דר טכנולוגיות בע"מ</v>
      </c>
      <c r="H128" t="str">
        <f>VLOOKUP(B128,[1]Sheet1!B:N,5,0)</f>
        <v>01.0132</v>
      </c>
    </row>
    <row r="129" spans="1:8" x14ac:dyDescent="0.3">
      <c r="A129" s="2"/>
      <c r="B129" t="s">
        <v>196</v>
      </c>
      <c r="C129">
        <f>VLOOKUP(B129,[1]Sheet1!B:N,9,0)</f>
        <v>0.6</v>
      </c>
      <c r="D129" t="str">
        <f>VLOOKUP(B129,[1]Sheet1!B:N,10,0)</f>
        <v>₪</v>
      </c>
      <c r="E129" s="3">
        <f>VLOOKUP(B129,[1]Sheet1!B:N,6,0)</f>
        <v>46012</v>
      </c>
      <c r="F129">
        <v>3</v>
      </c>
      <c r="G129" t="str">
        <f>VLOOKUP(B129,[1]Sheet1!B:N,8,0)</f>
        <v>דר טכנולוגיות בע"מ</v>
      </c>
      <c r="H129" t="str">
        <f>VLOOKUP(B129,[1]Sheet1!B:N,5,0)</f>
        <v>01.0180</v>
      </c>
    </row>
    <row r="130" spans="1:8" x14ac:dyDescent="0.3">
      <c r="A130" s="2"/>
      <c r="B130" t="s">
        <v>197</v>
      </c>
      <c r="C130">
        <f>VLOOKUP(B130,[1]Sheet1!B:N,9,0)</f>
        <v>1.75</v>
      </c>
      <c r="D130" t="str">
        <f>VLOOKUP(B130,[1]Sheet1!B:N,10,0)</f>
        <v>₪</v>
      </c>
      <c r="E130" s="3">
        <f>VLOOKUP(B130,[1]Sheet1!B:N,6,0)</f>
        <v>45089</v>
      </c>
      <c r="F130">
        <v>3</v>
      </c>
      <c r="G130" t="str">
        <f>VLOOKUP(B130,[1]Sheet1!B:N,8,0)</f>
        <v>גין מהנדסים בע"מ</v>
      </c>
      <c r="H130" t="str">
        <f>VLOOKUP(B130,[1]Sheet1!B:N,5,0)</f>
        <v>01.0286</v>
      </c>
    </row>
    <row r="131" spans="1:8" x14ac:dyDescent="0.3">
      <c r="A131" s="2"/>
      <c r="B131" t="s">
        <v>198</v>
      </c>
      <c r="C131">
        <f>VLOOKUP(B131,[1]Sheet1!B:N,9,0)</f>
        <v>0.6</v>
      </c>
      <c r="D131" t="str">
        <f>VLOOKUP(B131,[1]Sheet1!B:N,10,0)</f>
        <v>₪</v>
      </c>
      <c r="E131" s="3">
        <f>VLOOKUP(B131,[1]Sheet1!B:N,6,0)</f>
        <v>45763</v>
      </c>
      <c r="F131">
        <v>3</v>
      </c>
      <c r="G131" t="str">
        <f>VLOOKUP(B131,[1]Sheet1!B:N,8,0)</f>
        <v>דר טכנולוגיות בע"מ</v>
      </c>
      <c r="H131" t="str">
        <f>VLOOKUP(B131,[1]Sheet1!B:N,5,0)</f>
        <v>01.0103</v>
      </c>
    </row>
    <row r="132" spans="1:8" x14ac:dyDescent="0.3">
      <c r="A132" s="2"/>
      <c r="B132" t="s">
        <v>199</v>
      </c>
      <c r="C132">
        <f>VLOOKUP(B132,[1]Sheet1!B:N,9,0)</f>
        <v>1</v>
      </c>
      <c r="D132" t="str">
        <f>VLOOKUP(B132,[1]Sheet1!B:N,10,0)</f>
        <v>₪</v>
      </c>
      <c r="E132" s="3">
        <f>VLOOKUP(B132,[1]Sheet1!B:N,6,0)</f>
        <v>44602</v>
      </c>
      <c r="F132">
        <v>3</v>
      </c>
      <c r="G132" t="str">
        <f>VLOOKUP(B132,[1]Sheet1!B:N,8,0)</f>
        <v>דר טכנולוגיות בע"מ</v>
      </c>
      <c r="H132" t="str">
        <f>VLOOKUP(B132,[1]Sheet1!B:N,5,0)</f>
        <v>01.0287</v>
      </c>
    </row>
    <row r="133" spans="1:8" x14ac:dyDescent="0.3">
      <c r="A133" s="2"/>
      <c r="B133" t="s">
        <v>200</v>
      </c>
      <c r="C133">
        <f>VLOOKUP(B133,[1]Sheet1!B:N,9,0)</f>
        <v>1.8</v>
      </c>
      <c r="D133" t="str">
        <f>VLOOKUP(B133,[1]Sheet1!B:N,10,0)</f>
        <v>₪</v>
      </c>
      <c r="E133" s="3">
        <f>VLOOKUP(B133,[1]Sheet1!B:N,6,0)</f>
        <v>46082.355124918984</v>
      </c>
      <c r="F133">
        <v>3</v>
      </c>
      <c r="G133" t="str">
        <f>VLOOKUP(B133,[1]Sheet1!B:N,8,0)</f>
        <v>גין מהנדסים בע"מ</v>
      </c>
      <c r="H133" t="str">
        <f>VLOOKUP(B133,[1]Sheet1!B:N,5,0)</f>
        <v>01.0186</v>
      </c>
    </row>
    <row r="134" spans="1:8" x14ac:dyDescent="0.3">
      <c r="A134" s="2"/>
      <c r="B134" t="s">
        <v>201</v>
      </c>
      <c r="C134">
        <f>VLOOKUP(B134,[1]Sheet1!B:N,9,0)</f>
        <v>0.6</v>
      </c>
      <c r="D134" t="str">
        <f>VLOOKUP(B134,[1]Sheet1!B:N,10,0)</f>
        <v>₪</v>
      </c>
      <c r="E134" s="3">
        <f>VLOOKUP(B134,[1]Sheet1!B:N,6,0)</f>
        <v>44259</v>
      </c>
      <c r="F134">
        <v>3</v>
      </c>
      <c r="G134" t="str">
        <f>VLOOKUP(B134,[1]Sheet1!B:N,8,0)</f>
        <v>דר טכנולוגיות בע"מ</v>
      </c>
      <c r="H134" t="str">
        <f>VLOOKUP(B134,[1]Sheet1!B:N,5,0)</f>
        <v>01.0103</v>
      </c>
    </row>
    <row r="135" spans="1:8" x14ac:dyDescent="0.3">
      <c r="A135" s="2"/>
      <c r="B135" t="s">
        <v>202</v>
      </c>
      <c r="C135">
        <f>VLOOKUP(B135,[1]Sheet1!B:N,9,0)</f>
        <v>0.8</v>
      </c>
      <c r="D135" t="str">
        <f>VLOOKUP(B135,[1]Sheet1!B:N,10,0)</f>
        <v>₪</v>
      </c>
      <c r="E135" s="3">
        <f>VLOOKUP(B135,[1]Sheet1!B:N,6,0)</f>
        <v>45938</v>
      </c>
      <c r="F135">
        <v>3</v>
      </c>
      <c r="G135" t="str">
        <f>VLOOKUP(B135,[1]Sheet1!B:N,8,0)</f>
        <v>דר טכנולוגיות בע"מ</v>
      </c>
      <c r="H135" t="str">
        <f>VLOOKUP(B135,[1]Sheet1!B:N,5,0)</f>
        <v>01.0150</v>
      </c>
    </row>
    <row r="136" spans="1:8" x14ac:dyDescent="0.3">
      <c r="A136" s="2"/>
      <c r="B136" t="s">
        <v>203</v>
      </c>
      <c r="C136">
        <f>VLOOKUP(B136,[1]Sheet1!B:N,9,0)</f>
        <v>8.5</v>
      </c>
      <c r="D136" t="str">
        <f>VLOOKUP(B136,[1]Sheet1!B:N,10,0)</f>
        <v>₪</v>
      </c>
      <c r="E136" s="3">
        <f>VLOOKUP(B136,[1]Sheet1!B:N,6,0)</f>
        <v>45804</v>
      </c>
      <c r="F136">
        <v>3</v>
      </c>
      <c r="G136" t="str">
        <f>VLOOKUP(B136,[1]Sheet1!B:N,8,0)</f>
        <v>גין מהנדסים בע"מ</v>
      </c>
      <c r="H136" t="str">
        <f>VLOOKUP(B136,[1]Sheet1!B:N,5,0)</f>
        <v>01.0718</v>
      </c>
    </row>
    <row r="137" spans="1:8" x14ac:dyDescent="0.3">
      <c r="A137" s="2"/>
      <c r="B137" t="s">
        <v>204</v>
      </c>
      <c r="C137">
        <f>VLOOKUP(B137,[1]Sheet1!B:N,9,0)</f>
        <v>88.2</v>
      </c>
      <c r="D137" t="str">
        <f>VLOOKUP(B137,[1]Sheet1!B:N,10,0)</f>
        <v>₪</v>
      </c>
      <c r="E137" s="3">
        <f>VLOOKUP(B137,[1]Sheet1!B:N,6,0)</f>
        <v>45697</v>
      </c>
      <c r="F137">
        <v>3</v>
      </c>
      <c r="G137" t="str">
        <f>VLOOKUP(B137,[1]Sheet1!B:N,8,0)</f>
        <v>לוונשטיין טכנולוגיות בע"מ</v>
      </c>
      <c r="H137" t="str">
        <f>VLOOKUP(B137,[1]Sheet1!B:N,5,0)</f>
        <v>01.0547</v>
      </c>
    </row>
    <row r="138" spans="1:8" x14ac:dyDescent="0.3">
      <c r="A138" s="2"/>
      <c r="B138" t="s">
        <v>205</v>
      </c>
      <c r="C138">
        <f>VLOOKUP(B138,[1]Sheet1!B:N,9,0)</f>
        <v>102.9</v>
      </c>
      <c r="D138" t="str">
        <f>VLOOKUP(B138,[1]Sheet1!B:N,10,0)</f>
        <v>₪</v>
      </c>
      <c r="E138" s="3">
        <f>VLOOKUP(B138,[1]Sheet1!B:N,6,0)</f>
        <v>45697</v>
      </c>
      <c r="F138">
        <v>3</v>
      </c>
      <c r="G138" t="str">
        <f>VLOOKUP(B138,[1]Sheet1!B:N,8,0)</f>
        <v>לוונשטיין טכנולוגיות בע"מ</v>
      </c>
      <c r="H138" t="str">
        <f>VLOOKUP(B138,[1]Sheet1!B:N,5,0)</f>
        <v>01.0610</v>
      </c>
    </row>
    <row r="139" spans="1:8" x14ac:dyDescent="0.3">
      <c r="A139" s="2"/>
      <c r="B139" t="s">
        <v>206</v>
      </c>
      <c r="C139">
        <f>VLOOKUP(B139,[1]Sheet1!B:N,9,0)</f>
        <v>83.3</v>
      </c>
      <c r="D139" t="str">
        <f>VLOOKUP(B139,[1]Sheet1!B:N,10,0)</f>
        <v>₪</v>
      </c>
      <c r="E139" s="3">
        <f>VLOOKUP(B139,[1]Sheet1!B:N,6,0)</f>
        <v>45697</v>
      </c>
      <c r="F139">
        <v>3</v>
      </c>
      <c r="G139" t="str">
        <f>VLOOKUP(B139,[1]Sheet1!B:N,8,0)</f>
        <v>לוונשטיין טכנולוגיות בע"מ</v>
      </c>
      <c r="H139" t="str">
        <f>VLOOKUP(B139,[1]Sheet1!B:N,5,0)</f>
        <v>01.0609</v>
      </c>
    </row>
    <row r="140" spans="1:8" x14ac:dyDescent="0.3">
      <c r="A140" s="2"/>
      <c r="B140" t="s">
        <v>207</v>
      </c>
      <c r="C140">
        <f>VLOOKUP(B140,[1]Sheet1!B:N,9,0)</f>
        <v>90</v>
      </c>
      <c r="D140" t="str">
        <f>VLOOKUP(B140,[1]Sheet1!B:N,10,0)</f>
        <v>₪</v>
      </c>
      <c r="E140" s="3">
        <f>VLOOKUP(B140,[1]Sheet1!B:N,6,0)</f>
        <v>45875</v>
      </c>
      <c r="F140">
        <v>3</v>
      </c>
      <c r="G140" t="str">
        <f>VLOOKUP(B140,[1]Sheet1!B:N,8,0)</f>
        <v>לוונשטיין טכנולוגיות בע"מ</v>
      </c>
      <c r="H140" t="str">
        <f>VLOOKUP(B140,[1]Sheet1!B:N,5,0)</f>
        <v>01.0608</v>
      </c>
    </row>
    <row r="141" spans="1:8" x14ac:dyDescent="0.3">
      <c r="A141" s="2"/>
      <c r="B141" t="s">
        <v>208</v>
      </c>
      <c r="C141">
        <f>VLOOKUP(B141,[1]Sheet1!B:N,9,0)</f>
        <v>367.5</v>
      </c>
      <c r="D141" t="str">
        <f>VLOOKUP(B141,[1]Sheet1!B:N,10,0)</f>
        <v>₪</v>
      </c>
      <c r="E141" s="3">
        <f>VLOOKUP(B141,[1]Sheet1!B:N,6,0)</f>
        <v>45697</v>
      </c>
      <c r="F141">
        <v>3</v>
      </c>
      <c r="G141" t="str">
        <f>VLOOKUP(B141,[1]Sheet1!B:N,8,0)</f>
        <v>לוונשטיין טכנולוגיות בע"מ</v>
      </c>
      <c r="H141" t="str">
        <f>VLOOKUP(B141,[1]Sheet1!B:N,5,0)</f>
        <v>01.0316</v>
      </c>
    </row>
    <row r="142" spans="1:8" x14ac:dyDescent="0.3">
      <c r="A142" s="2"/>
      <c r="B142" t="s">
        <v>209</v>
      </c>
      <c r="C142">
        <f>VLOOKUP(B142,[1]Sheet1!B:N,9,0)</f>
        <v>372.4</v>
      </c>
      <c r="D142" t="str">
        <f>VLOOKUP(B142,[1]Sheet1!B:N,10,0)</f>
        <v>₪</v>
      </c>
      <c r="E142" s="3">
        <f>VLOOKUP(B142,[1]Sheet1!B:N,6,0)</f>
        <v>45735</v>
      </c>
      <c r="F142">
        <v>3</v>
      </c>
      <c r="G142" t="str">
        <f>VLOOKUP(B142,[1]Sheet1!B:N,8,0)</f>
        <v>לוונשטיין טכנולוגיות בע"מ</v>
      </c>
      <c r="H142" t="str">
        <f>VLOOKUP(B142,[1]Sheet1!B:N,5,0)</f>
        <v>01.0318</v>
      </c>
    </row>
    <row r="143" spans="1:8" x14ac:dyDescent="0.3">
      <c r="A143" s="2"/>
      <c r="B143" t="s">
        <v>210</v>
      </c>
      <c r="C143">
        <f>VLOOKUP(B143,[1]Sheet1!B:N,9,0)</f>
        <v>500</v>
      </c>
      <c r="D143" t="str">
        <f>VLOOKUP(B143,[1]Sheet1!B:N,10,0)</f>
        <v>₪</v>
      </c>
      <c r="E143" s="3">
        <f>VLOOKUP(B143,[1]Sheet1!B:N,6,0)</f>
        <v>45874</v>
      </c>
      <c r="F143">
        <v>3</v>
      </c>
      <c r="G143" t="str">
        <f>VLOOKUP(B143,[1]Sheet1!B:N,8,0)</f>
        <v>דר טכנולוגיות בע"מ</v>
      </c>
      <c r="H143" t="str">
        <f>VLOOKUP(B143,[1]Sheet1!B:N,5,0)</f>
        <v>01.0115</v>
      </c>
    </row>
    <row r="144" spans="1:8" x14ac:dyDescent="0.3">
      <c r="A144" s="2"/>
      <c r="B144" t="s">
        <v>211</v>
      </c>
      <c r="C144">
        <f>VLOOKUP(B144,[1]Sheet1!B:N,9,0)</f>
        <v>430</v>
      </c>
      <c r="D144" t="str">
        <f>VLOOKUP(B144,[1]Sheet1!B:N,10,0)</f>
        <v>₪</v>
      </c>
      <c r="E144" s="3">
        <f>VLOOKUP(B144,[1]Sheet1!B:N,6,0)</f>
        <v>45180</v>
      </c>
      <c r="F144">
        <v>3</v>
      </c>
      <c r="G144" t="str">
        <f>VLOOKUP(B144,[1]Sheet1!B:N,8,0)</f>
        <v>דר טכנולוגיות בע"מ</v>
      </c>
      <c r="H144" t="str">
        <f>VLOOKUP(B144,[1]Sheet1!B:N,5,0)</f>
        <v>01.0311</v>
      </c>
    </row>
    <row r="145" spans="1:8" x14ac:dyDescent="0.3">
      <c r="A145" s="2"/>
      <c r="B145" t="s">
        <v>212</v>
      </c>
      <c r="C145">
        <f>VLOOKUP(B145,[1]Sheet1!B:N,9,0)</f>
        <v>182.08</v>
      </c>
      <c r="D145" t="str">
        <f>VLOOKUP(B145,[1]Sheet1!B:N,10,0)</f>
        <v>₪</v>
      </c>
      <c r="E145" s="3">
        <f>VLOOKUP(B145,[1]Sheet1!B:N,6,0)</f>
        <v>45579</v>
      </c>
      <c r="F145">
        <v>3</v>
      </c>
      <c r="G145" t="str">
        <f>VLOOKUP(B145,[1]Sheet1!B:N,8,0)</f>
        <v>לוונשטיין טכנולוגיות בע"מ</v>
      </c>
      <c r="H145" t="str">
        <f>VLOOKUP(B145,[1]Sheet1!B:N,5,0)</f>
        <v>01.0480</v>
      </c>
    </row>
    <row r="146" spans="1:8" x14ac:dyDescent="0.3">
      <c r="A146" s="2"/>
      <c r="B146" t="s">
        <v>213</v>
      </c>
      <c r="C146">
        <f>VLOOKUP(B146,[1]Sheet1!B:N,9,0)</f>
        <v>161.69999999999999</v>
      </c>
      <c r="D146" t="str">
        <f>VLOOKUP(B146,[1]Sheet1!B:N,10,0)</f>
        <v>₪</v>
      </c>
      <c r="E146" s="3">
        <f>VLOOKUP(B146,[1]Sheet1!B:N,6,0)</f>
        <v>45697</v>
      </c>
      <c r="F146">
        <v>3</v>
      </c>
      <c r="G146" t="str">
        <f>VLOOKUP(B146,[1]Sheet1!B:N,8,0)</f>
        <v>לוונשטיין טכנולוגיות בע"מ</v>
      </c>
      <c r="H146" t="str">
        <f>VLOOKUP(B146,[1]Sheet1!B:N,5,0)</f>
        <v>01.0521</v>
      </c>
    </row>
    <row r="147" spans="1:8" x14ac:dyDescent="0.3">
      <c r="A147" s="2"/>
      <c r="B147" t="s">
        <v>214</v>
      </c>
      <c r="C147">
        <f>VLOOKUP(B147,[1]Sheet1!B:N,9,0)</f>
        <v>180</v>
      </c>
      <c r="D147" t="str">
        <f>VLOOKUP(B147,[1]Sheet1!B:N,10,0)</f>
        <v>₪</v>
      </c>
      <c r="E147" s="3">
        <f>VLOOKUP(B147,[1]Sheet1!B:N,6,0)</f>
        <v>45882</v>
      </c>
      <c r="F147">
        <v>3</v>
      </c>
      <c r="G147" t="str">
        <f>VLOOKUP(B147,[1]Sheet1!B:N,8,0)</f>
        <v>לוונשטיין טכנולוגיות בע"מ</v>
      </c>
      <c r="H147" t="str">
        <f>VLOOKUP(B147,[1]Sheet1!B:N,5,0)</f>
        <v>01.0215</v>
      </c>
    </row>
    <row r="148" spans="1:8" x14ac:dyDescent="0.3">
      <c r="A148" s="2" t="s">
        <v>215</v>
      </c>
      <c r="B148" t="s">
        <v>216</v>
      </c>
      <c r="C148">
        <f>VLOOKUP(B148,[1]Sheet1!B:N,9,0)</f>
        <v>5.7</v>
      </c>
      <c r="D148" t="str">
        <f>VLOOKUP(B148,[1]Sheet1!B:N,10,0)</f>
        <v>₪</v>
      </c>
      <c r="E148" s="3">
        <f>VLOOKUP(B148,[1]Sheet1!B:N,6,0)</f>
        <v>45951</v>
      </c>
      <c r="F148">
        <v>3</v>
      </c>
      <c r="G148" t="str">
        <f>VLOOKUP(B148,[1]Sheet1!B:N,8,0)</f>
        <v>דר טכנולוגיות בע"מ</v>
      </c>
      <c r="H148" t="str">
        <f>VLOOKUP(B148,[1]Sheet1!B:N,5,0)</f>
        <v>01.0014</v>
      </c>
    </row>
    <row r="149" spans="1:8" x14ac:dyDescent="0.3">
      <c r="A149" s="2" t="s">
        <v>76</v>
      </c>
      <c r="B149" t="s">
        <v>217</v>
      </c>
      <c r="C149">
        <f>VLOOKUP(B149,[1]Sheet1!B:N,9,0)</f>
        <v>5.2</v>
      </c>
      <c r="D149" t="str">
        <f>VLOOKUP(B149,[1]Sheet1!B:N,10,0)</f>
        <v>₪</v>
      </c>
      <c r="E149" s="3">
        <f>VLOOKUP(B149,[1]Sheet1!B:N,6,0)</f>
        <v>45484</v>
      </c>
      <c r="F149">
        <v>3</v>
      </c>
      <c r="G149" t="str">
        <f>VLOOKUP(B149,[1]Sheet1!B:N,8,0)</f>
        <v>לוונשטיין טכנולוגיות בע"מ</v>
      </c>
      <c r="H149" t="str">
        <f>VLOOKUP(B149,[1]Sheet1!B:N,5,0)</f>
        <v>01.0014</v>
      </c>
    </row>
    <row r="150" spans="1:8" x14ac:dyDescent="0.3">
      <c r="A150" s="2" t="s">
        <v>218</v>
      </c>
      <c r="B150" t="s">
        <v>219</v>
      </c>
      <c r="C150">
        <f>VLOOKUP(B150,[1]Sheet1!B:N,9,0)</f>
        <v>295</v>
      </c>
      <c r="D150" t="str">
        <f>VLOOKUP(B150,[1]Sheet1!B:N,10,0)</f>
        <v>$</v>
      </c>
      <c r="E150" s="3">
        <f>VLOOKUP(B150,[1]Sheet1!B:N,6,0)</f>
        <v>44619</v>
      </c>
      <c r="F150">
        <v>3</v>
      </c>
      <c r="G150" t="str">
        <f>VLOOKUP(B150,[1]Sheet1!B:N,8,0)</f>
        <v>לשם טכנולוגיות תעשיי</v>
      </c>
      <c r="H150" t="str">
        <f>VLOOKUP(B150,[1]Sheet1!B:N,5,0)</f>
        <v>01.0256</v>
      </c>
    </row>
    <row r="151" spans="1:8" x14ac:dyDescent="0.3">
      <c r="A151" s="2" t="s">
        <v>220</v>
      </c>
      <c r="B151" t="s">
        <v>221</v>
      </c>
      <c r="C151">
        <f>VLOOKUP(B151,[1]Sheet1!B:N,9,0)</f>
        <v>0.75</v>
      </c>
      <c r="D151" t="str">
        <f>VLOOKUP(B151,[1]Sheet1!B:N,10,0)</f>
        <v>₪</v>
      </c>
      <c r="E151" s="3">
        <f>VLOOKUP(B151,[1]Sheet1!B:N,6,0)</f>
        <v>46047</v>
      </c>
      <c r="F151">
        <v>3</v>
      </c>
      <c r="G151" t="str">
        <f>VLOOKUP(B151,[1]Sheet1!B:N,8,0)</f>
        <v>לוונשטיין טכנולוגיות בע"מ</v>
      </c>
      <c r="H151" t="str">
        <f>VLOOKUP(B151,[1]Sheet1!B:N,5,0)</f>
        <v>01.0025</v>
      </c>
    </row>
    <row r="152" spans="1:8" x14ac:dyDescent="0.3">
      <c r="A152" s="2" t="s">
        <v>222</v>
      </c>
      <c r="B152" t="s">
        <v>223</v>
      </c>
      <c r="C152">
        <f>VLOOKUP(B152,[1]Sheet1!B:N,9,0)</f>
        <v>2</v>
      </c>
      <c r="D152" t="str">
        <f>VLOOKUP(B152,[1]Sheet1!B:N,10,0)</f>
        <v>₪</v>
      </c>
      <c r="E152" s="3">
        <f>VLOOKUP(B152,[1]Sheet1!B:N,6,0)</f>
        <v>45333</v>
      </c>
      <c r="F152">
        <v>3</v>
      </c>
      <c r="G152" t="str">
        <f>VLOOKUP(B152,[1]Sheet1!B:N,8,0)</f>
        <v>לוונשטיין טכנולוגיות בע"מ</v>
      </c>
      <c r="H152" t="str">
        <f>VLOOKUP(B152,[1]Sheet1!B:N,5,0)</f>
        <v>01.0080</v>
      </c>
    </row>
    <row r="153" spans="1:8" x14ac:dyDescent="0.3">
      <c r="A153" s="2" t="s">
        <v>118</v>
      </c>
      <c r="B153" t="s">
        <v>224</v>
      </c>
      <c r="C153">
        <f>VLOOKUP(B153,[1]Sheet1!B:N,9,0)</f>
        <v>0.45</v>
      </c>
      <c r="D153" t="str">
        <f>VLOOKUP(B153,[1]Sheet1!B:N,10,0)</f>
        <v>₪</v>
      </c>
      <c r="E153" s="3">
        <f>VLOOKUP(B153,[1]Sheet1!B:N,6,0)</f>
        <v>44069</v>
      </c>
      <c r="F153">
        <v>3</v>
      </c>
      <c r="G153" t="str">
        <f>VLOOKUP(B153,[1]Sheet1!B:N,8,0)</f>
        <v>דר טכנולוגיות בע"מ</v>
      </c>
      <c r="H153" t="str">
        <f>VLOOKUP(B153,[1]Sheet1!B:N,5,0)</f>
        <v>01.0009</v>
      </c>
    </row>
    <row r="154" spans="1:8" x14ac:dyDescent="0.3">
      <c r="A154" s="2" t="s">
        <v>225</v>
      </c>
      <c r="B154" t="s">
        <v>226</v>
      </c>
      <c r="C154">
        <f>VLOOKUP(B154,[1]Sheet1!B:N,9,0)</f>
        <v>7</v>
      </c>
      <c r="D154" t="str">
        <f>VLOOKUP(B154,[1]Sheet1!B:N,10,0)</f>
        <v>₪</v>
      </c>
      <c r="E154" s="3">
        <f>VLOOKUP(B154,[1]Sheet1!B:N,6,0)</f>
        <v>45644</v>
      </c>
      <c r="F154">
        <v>3</v>
      </c>
      <c r="G154" t="str">
        <f>VLOOKUP(B154,[1]Sheet1!B:N,8,0)</f>
        <v>לוונשטיין טכנולוגיות בע"מ</v>
      </c>
      <c r="H154" t="str">
        <f>VLOOKUP(B154,[1]Sheet1!B:N,5,0)</f>
        <v>01.0420</v>
      </c>
    </row>
    <row r="155" spans="1:8" x14ac:dyDescent="0.3">
      <c r="A155" s="2" t="s">
        <v>50</v>
      </c>
      <c r="B155" t="s">
        <v>227</v>
      </c>
      <c r="C155">
        <f>VLOOKUP(B155,[1]Sheet1!B:N,9,0)</f>
        <v>6.8</v>
      </c>
      <c r="D155" t="str">
        <f>VLOOKUP(B155,[1]Sheet1!B:N,10,0)</f>
        <v>₪</v>
      </c>
      <c r="E155" s="3">
        <f>VLOOKUP(B155,[1]Sheet1!B:N,6,0)</f>
        <v>45683</v>
      </c>
      <c r="F155">
        <v>3</v>
      </c>
      <c r="G155" t="str">
        <f>VLOOKUP(B155,[1]Sheet1!B:N,8,0)</f>
        <v>לוונשטיין טכנולוגיות בע"מ</v>
      </c>
      <c r="H155" t="str">
        <f>VLOOKUP(B155,[1]Sheet1!B:N,5,0)</f>
        <v>01.0003</v>
      </c>
    </row>
    <row r="156" spans="1:8" x14ac:dyDescent="0.3">
      <c r="A156" s="2" t="s">
        <v>228</v>
      </c>
      <c r="B156" t="s">
        <v>229</v>
      </c>
      <c r="C156">
        <f>VLOOKUP(B156,[1]Sheet1!B:N,9,0)</f>
        <v>0.5</v>
      </c>
      <c r="D156" t="str">
        <f>VLOOKUP(B156,[1]Sheet1!B:N,10,0)</f>
        <v>₪</v>
      </c>
      <c r="E156" s="3">
        <f>VLOOKUP(B156,[1]Sheet1!B:N,6,0)</f>
        <v>44340</v>
      </c>
      <c r="F156">
        <v>3</v>
      </c>
      <c r="G156" t="str">
        <f>VLOOKUP(B156,[1]Sheet1!B:N,8,0)</f>
        <v>גין מהנדסים בע"מ</v>
      </c>
      <c r="H156" t="str">
        <f>VLOOKUP(B156,[1]Sheet1!B:N,5,0)</f>
        <v>01.0052</v>
      </c>
    </row>
    <row r="157" spans="1:8" x14ac:dyDescent="0.3">
      <c r="A157" s="2" t="s">
        <v>230</v>
      </c>
      <c r="B157" t="s">
        <v>231</v>
      </c>
      <c r="C157">
        <f>VLOOKUP(B157,[1]Sheet1!B:N,9,0)</f>
        <v>0.85</v>
      </c>
      <c r="D157" t="str">
        <f>VLOOKUP(B157,[1]Sheet1!B:N,10,0)</f>
        <v>₪</v>
      </c>
      <c r="E157" s="3">
        <f>VLOOKUP(B157,[1]Sheet1!B:N,6,0)</f>
        <v>44903</v>
      </c>
      <c r="F157">
        <v>3</v>
      </c>
      <c r="G157" t="str">
        <f>VLOOKUP(B157,[1]Sheet1!B:N,8,0)</f>
        <v>לוונשטיין טכנולוגיות בע"מ</v>
      </c>
      <c r="H157" t="str">
        <f>VLOOKUP(B157,[1]Sheet1!B:N,5,0)</f>
        <v>01.0070</v>
      </c>
    </row>
    <row r="158" spans="1:8" x14ac:dyDescent="0.3">
      <c r="A158" s="2" t="s">
        <v>232</v>
      </c>
      <c r="B158" t="s">
        <v>233</v>
      </c>
      <c r="C158">
        <f>VLOOKUP(B158,[1]Sheet1!B:N,9,0)</f>
        <v>4.0438999999999998</v>
      </c>
      <c r="D158" t="str">
        <f>VLOOKUP(B158,[1]Sheet1!B:N,10,0)</f>
        <v>₪</v>
      </c>
      <c r="E158" s="3">
        <f>VLOOKUP(B158,[1]Sheet1!B:N,6,0)</f>
        <v>41931</v>
      </c>
      <c r="F158">
        <v>3</v>
      </c>
      <c r="G158" t="str">
        <f>VLOOKUP(B158,[1]Sheet1!B:N,8,0)</f>
        <v>מלאי מקומי בע"מ</v>
      </c>
      <c r="H158" t="str">
        <f>VLOOKUP(B158,[1]Sheet1!B:N,5,0)</f>
        <v>01.0206</v>
      </c>
    </row>
    <row r="159" spans="1:8" x14ac:dyDescent="0.3">
      <c r="A159" s="2"/>
      <c r="B159" t="s">
        <v>234</v>
      </c>
      <c r="C159">
        <f>VLOOKUP(B159,[1]Sheet1!B:N,9,0)</f>
        <v>2</v>
      </c>
      <c r="D159" t="str">
        <f>VLOOKUP(B159,[1]Sheet1!B:N,10,0)</f>
        <v>₪</v>
      </c>
      <c r="E159" s="3">
        <f>VLOOKUP(B159,[1]Sheet1!B:N,6,0)</f>
        <v>46037</v>
      </c>
      <c r="F159">
        <v>2</v>
      </c>
      <c r="G159" t="str">
        <f>VLOOKUP(B159,[1]Sheet1!B:N,8,0)</f>
        <v>גין מהנדסים בע"מ</v>
      </c>
      <c r="H159" t="str">
        <f>VLOOKUP(B159,[1]Sheet1!B:N,5,0)</f>
        <v>01.0666</v>
      </c>
    </row>
    <row r="160" spans="1:8" x14ac:dyDescent="0.3">
      <c r="A160" s="2"/>
      <c r="B160" t="s">
        <v>235</v>
      </c>
      <c r="C160">
        <f>VLOOKUP(B160,[1]Sheet1!B:N,9,0)</f>
        <v>0.55000000000000004</v>
      </c>
      <c r="D160" t="str">
        <f>VLOOKUP(B160,[1]Sheet1!B:N,10,0)</f>
        <v>₪</v>
      </c>
      <c r="E160" s="3">
        <f>VLOOKUP(B160,[1]Sheet1!B:N,6,0)</f>
        <v>45767</v>
      </c>
      <c r="F160">
        <v>2</v>
      </c>
      <c r="G160" t="str">
        <f>VLOOKUP(B160,[1]Sheet1!B:N,8,0)</f>
        <v>דר טכנולוגיות בע"מ</v>
      </c>
      <c r="H160" t="str">
        <f>VLOOKUP(B160,[1]Sheet1!B:N,5,0)</f>
        <v>01.0472</v>
      </c>
    </row>
    <row r="161" spans="1:8" x14ac:dyDescent="0.3">
      <c r="A161" s="2"/>
      <c r="B161" t="s">
        <v>236</v>
      </c>
      <c r="C161">
        <f>VLOOKUP(B161,[1]Sheet1!B:N,9,0)</f>
        <v>0.55000000000000004</v>
      </c>
      <c r="D161" t="str">
        <f>VLOOKUP(B161,[1]Sheet1!B:N,10,0)</f>
        <v>₪</v>
      </c>
      <c r="E161" s="3">
        <f>VLOOKUP(B161,[1]Sheet1!B:N,6,0)</f>
        <v>44054</v>
      </c>
      <c r="F161">
        <v>2</v>
      </c>
      <c r="G161" t="str">
        <f>VLOOKUP(B161,[1]Sheet1!B:N,8,0)</f>
        <v>לוונשטיין טכנולוגיות</v>
      </c>
      <c r="H161" t="str">
        <f>VLOOKUP(B161,[1]Sheet1!B:N,5,0)</f>
        <v>01.0045</v>
      </c>
    </row>
    <row r="162" spans="1:8" x14ac:dyDescent="0.3">
      <c r="A162" s="2"/>
      <c r="B162" t="s">
        <v>237</v>
      </c>
      <c r="C162">
        <f>VLOOKUP(B162,[1]Sheet1!B:N,9,0)</f>
        <v>19</v>
      </c>
      <c r="D162" t="str">
        <f>VLOOKUP(B162,[1]Sheet1!B:N,10,0)</f>
        <v>₪</v>
      </c>
      <c r="E162" s="3">
        <f>VLOOKUP(B162,[1]Sheet1!B:N,6,0)</f>
        <v>45530</v>
      </c>
      <c r="F162">
        <v>2</v>
      </c>
      <c r="G162" t="str">
        <f>VLOOKUP(B162,[1]Sheet1!B:N,8,0)</f>
        <v>לוונשטיין טכנולוגיות בע"מ</v>
      </c>
      <c r="H162" t="str">
        <f>VLOOKUP(B162,[1]Sheet1!B:N,5,0)</f>
        <v>01.0261</v>
      </c>
    </row>
    <row r="163" spans="1:8" x14ac:dyDescent="0.3">
      <c r="A163" s="2"/>
      <c r="B163" t="s">
        <v>238</v>
      </c>
      <c r="C163">
        <f>VLOOKUP(B163,[1]Sheet1!B:N,9,0)</f>
        <v>31.42</v>
      </c>
      <c r="D163" t="str">
        <f>VLOOKUP(B163,[1]Sheet1!B:N,10,0)</f>
        <v>₪</v>
      </c>
      <c r="E163" s="3">
        <f>VLOOKUP(B163,[1]Sheet1!B:N,6,0)</f>
        <v>41087</v>
      </c>
      <c r="F163">
        <v>2</v>
      </c>
      <c r="G163" t="str">
        <f>VLOOKUP(B163,[1]Sheet1!B:N,8,0)</f>
        <v>מלאי מקומי בע"מ</v>
      </c>
      <c r="H163" t="str">
        <f>VLOOKUP(B163,[1]Sheet1!B:N,5,0)</f>
        <v>01.0005</v>
      </c>
    </row>
    <row r="164" spans="1:8" x14ac:dyDescent="0.3">
      <c r="A164" s="2"/>
      <c r="B164" t="s">
        <v>239</v>
      </c>
      <c r="C164">
        <f>VLOOKUP(B164,[1]Sheet1!B:N,9,0)</f>
        <v>270</v>
      </c>
      <c r="D164" t="str">
        <f>VLOOKUP(B164,[1]Sheet1!B:N,10,0)</f>
        <v>₪</v>
      </c>
      <c r="E164" s="3">
        <f>VLOOKUP(B164,[1]Sheet1!B:N,6,0)</f>
        <v>46043</v>
      </c>
      <c r="F164">
        <v>2</v>
      </c>
      <c r="G164" t="str">
        <f>VLOOKUP(B164,[1]Sheet1!B:N,8,0)</f>
        <v>מאור גבריאלי הספקה ט</v>
      </c>
      <c r="H164" t="str">
        <f>VLOOKUP(B164,[1]Sheet1!B:N,5,0)</f>
        <v>01.0446</v>
      </c>
    </row>
    <row r="165" spans="1:8" x14ac:dyDescent="0.3">
      <c r="A165" s="2"/>
      <c r="B165" t="s">
        <v>240</v>
      </c>
      <c r="C165">
        <f>VLOOKUP(B165,[1]Sheet1!B:N,9,0)</f>
        <v>0.35</v>
      </c>
      <c r="D165" t="str">
        <f>VLOOKUP(B165,[1]Sheet1!B:N,10,0)</f>
        <v>₪</v>
      </c>
      <c r="E165" s="3">
        <f>VLOOKUP(B165,[1]Sheet1!B:N,6,0)</f>
        <v>44098</v>
      </c>
      <c r="F165">
        <v>2</v>
      </c>
      <c r="G165" t="str">
        <f>VLOOKUP(B165,[1]Sheet1!B:N,8,0)</f>
        <v>גין מהנדסים בע"מ</v>
      </c>
      <c r="H165" t="str">
        <f>VLOOKUP(B165,[1]Sheet1!B:N,5,0)</f>
        <v>01.0303</v>
      </c>
    </row>
    <row r="166" spans="1:8" x14ac:dyDescent="0.3">
      <c r="A166" s="2"/>
      <c r="B166" t="s">
        <v>241</v>
      </c>
      <c r="C166">
        <f>VLOOKUP(B166,[1]Sheet1!B:N,9,0)</f>
        <v>0.6</v>
      </c>
      <c r="D166" t="str">
        <f>VLOOKUP(B166,[1]Sheet1!B:N,10,0)</f>
        <v>₪</v>
      </c>
      <c r="E166" s="3">
        <f>VLOOKUP(B166,[1]Sheet1!B:N,6,0)</f>
        <v>45312</v>
      </c>
      <c r="F166">
        <v>2</v>
      </c>
      <c r="G166" t="str">
        <f>VLOOKUP(B166,[1]Sheet1!B:N,8,0)</f>
        <v>דר טכנולוגיות בע"מ</v>
      </c>
      <c r="H166" t="str">
        <f>VLOOKUP(B166,[1]Sheet1!B:N,5,0)</f>
        <v>01.0428</v>
      </c>
    </row>
    <row r="167" spans="1:8" x14ac:dyDescent="0.3">
      <c r="A167" s="2"/>
      <c r="B167" t="s">
        <v>242</v>
      </c>
      <c r="C167">
        <f>VLOOKUP(B167,[1]Sheet1!B:N,9,0)</f>
        <v>0.6</v>
      </c>
      <c r="D167" t="str">
        <f>VLOOKUP(B167,[1]Sheet1!B:N,10,0)</f>
        <v>₪</v>
      </c>
      <c r="E167" s="3">
        <f>VLOOKUP(B167,[1]Sheet1!B:N,6,0)</f>
        <v>46049</v>
      </c>
      <c r="F167">
        <v>2</v>
      </c>
      <c r="G167" t="str">
        <f>VLOOKUP(B167,[1]Sheet1!B:N,8,0)</f>
        <v>דר טכנולוגיות בע"מ</v>
      </c>
      <c r="H167" t="str">
        <f>VLOOKUP(B167,[1]Sheet1!B:N,5,0)</f>
        <v>01.0441</v>
      </c>
    </row>
    <row r="168" spans="1:8" x14ac:dyDescent="0.3">
      <c r="A168" s="2"/>
      <c r="B168" t="s">
        <v>243</v>
      </c>
      <c r="C168">
        <f>VLOOKUP(B168,[1]Sheet1!B:N,9,0)</f>
        <v>0.65</v>
      </c>
      <c r="D168" t="str">
        <f>VLOOKUP(B168,[1]Sheet1!B:N,10,0)</f>
        <v>₪</v>
      </c>
      <c r="E168" s="3">
        <f>VLOOKUP(B168,[1]Sheet1!B:N,6,0)</f>
        <v>46033</v>
      </c>
      <c r="F168">
        <v>2</v>
      </c>
      <c r="G168" t="str">
        <f>VLOOKUP(B168,[1]Sheet1!B:N,8,0)</f>
        <v>דר טכנולוגיות בע"מ</v>
      </c>
      <c r="H168" t="str">
        <f>VLOOKUP(B168,[1]Sheet1!B:N,5,0)</f>
        <v>01.0333</v>
      </c>
    </row>
    <row r="169" spans="1:8" x14ac:dyDescent="0.3">
      <c r="A169" s="2"/>
      <c r="B169" t="s">
        <v>244</v>
      </c>
      <c r="C169">
        <f>VLOOKUP(B169,[1]Sheet1!B:N,9,0)</f>
        <v>3</v>
      </c>
      <c r="D169" t="str">
        <f>VLOOKUP(B169,[1]Sheet1!B:N,10,0)</f>
        <v>₪</v>
      </c>
      <c r="E169" s="3">
        <f>VLOOKUP(B169,[1]Sheet1!B:N,6,0)</f>
        <v>45655</v>
      </c>
      <c r="F169">
        <v>2</v>
      </c>
      <c r="G169" t="str">
        <f>VLOOKUP(B169,[1]Sheet1!B:N,8,0)</f>
        <v>גין מהנדסים בע"מ</v>
      </c>
      <c r="H169" t="str">
        <f>VLOOKUP(B169,[1]Sheet1!B:N,5,0)</f>
        <v>01.0483</v>
      </c>
    </row>
    <row r="170" spans="1:8" x14ac:dyDescent="0.3">
      <c r="A170" s="2"/>
      <c r="B170" t="s">
        <v>245</v>
      </c>
      <c r="C170">
        <f>VLOOKUP(B170,[1]Sheet1!B:N,9,0)</f>
        <v>0.59740000000000004</v>
      </c>
      <c r="D170" t="str">
        <f>VLOOKUP(B170,[1]Sheet1!B:N,10,0)</f>
        <v>₪</v>
      </c>
      <c r="E170" s="3">
        <f>VLOOKUP(B170,[1]Sheet1!B:N,6,0)</f>
        <v>42810</v>
      </c>
      <c r="F170">
        <v>2</v>
      </c>
      <c r="G170" t="str">
        <f>VLOOKUP(B170,[1]Sheet1!B:N,8,0)</f>
        <v>דר טכנולוגיות בע"מ</v>
      </c>
      <c r="H170" t="str">
        <f>VLOOKUP(B170,[1]Sheet1!B:N,5,0)</f>
        <v>01.0038</v>
      </c>
    </row>
    <row r="171" spans="1:8" x14ac:dyDescent="0.3">
      <c r="A171" s="2"/>
      <c r="B171" t="s">
        <v>246</v>
      </c>
      <c r="C171">
        <f>VLOOKUP(B171,[1]Sheet1!B:N,9,0)</f>
        <v>0.8</v>
      </c>
      <c r="D171" t="str">
        <f>VLOOKUP(B171,[1]Sheet1!B:N,10,0)</f>
        <v>₪</v>
      </c>
      <c r="E171" s="3">
        <f>VLOOKUP(B171,[1]Sheet1!B:N,6,0)</f>
        <v>45546</v>
      </c>
      <c r="F171">
        <v>2</v>
      </c>
      <c r="G171" t="str">
        <f>VLOOKUP(B171,[1]Sheet1!B:N,8,0)</f>
        <v>דר טכנולוגיות בע"מ</v>
      </c>
      <c r="H171" t="str">
        <f>VLOOKUP(B171,[1]Sheet1!B:N,5,0)</f>
        <v>01.0638</v>
      </c>
    </row>
    <row r="172" spans="1:8" x14ac:dyDescent="0.3">
      <c r="A172" s="2"/>
      <c r="B172" t="s">
        <v>247</v>
      </c>
      <c r="C172">
        <f>VLOOKUP(B172,[1]Sheet1!B:N,9,0)</f>
        <v>0.6</v>
      </c>
      <c r="D172" t="str">
        <f>VLOOKUP(B172,[1]Sheet1!B:N,10,0)</f>
        <v>₪</v>
      </c>
      <c r="E172" s="3">
        <f>VLOOKUP(B172,[1]Sheet1!B:N,6,0)</f>
        <v>44894</v>
      </c>
      <c r="F172">
        <v>2</v>
      </c>
      <c r="G172" t="str">
        <f>VLOOKUP(B172,[1]Sheet1!B:N,8,0)</f>
        <v>דר טכנולוגיות בע"מ</v>
      </c>
      <c r="H172" t="str">
        <f>VLOOKUP(B172,[1]Sheet1!B:N,5,0)</f>
        <v>01.0028</v>
      </c>
    </row>
    <row r="173" spans="1:8" x14ac:dyDescent="0.3">
      <c r="A173" s="2"/>
      <c r="B173" t="s">
        <v>248</v>
      </c>
      <c r="C173">
        <f>VLOOKUP(B173,[1]Sheet1!B:N,9,0)</f>
        <v>0.72</v>
      </c>
      <c r="D173" t="str">
        <f>VLOOKUP(B173,[1]Sheet1!B:N,10,0)</f>
        <v>₪</v>
      </c>
      <c r="E173" s="3">
        <f>VLOOKUP(B173,[1]Sheet1!B:N,6,0)</f>
        <v>45502</v>
      </c>
      <c r="F173">
        <v>2</v>
      </c>
      <c r="G173" t="str">
        <f>VLOOKUP(B173,[1]Sheet1!B:N,8,0)</f>
        <v>לוונשטיין טכנולוגיות בע"מ</v>
      </c>
      <c r="H173" t="str">
        <f>VLOOKUP(B173,[1]Sheet1!B:N,5,0)</f>
        <v>01.0602</v>
      </c>
    </row>
    <row r="174" spans="1:8" x14ac:dyDescent="0.3">
      <c r="A174" s="2"/>
      <c r="B174" t="s">
        <v>249</v>
      </c>
      <c r="C174">
        <f>VLOOKUP(B174,[1]Sheet1!B:N,9,0)</f>
        <v>1.17</v>
      </c>
      <c r="D174" t="str">
        <f>VLOOKUP(B174,[1]Sheet1!B:N,10,0)</f>
        <v>₪</v>
      </c>
      <c r="E174" s="3">
        <f>VLOOKUP(B174,[1]Sheet1!B:N,6,0)</f>
        <v>44560</v>
      </c>
      <c r="F174">
        <v>2</v>
      </c>
      <c r="G174" t="str">
        <f>VLOOKUP(B174,[1]Sheet1!B:N,8,0)</f>
        <v>גין מהנדסים בע"מ</v>
      </c>
      <c r="H174" t="str">
        <f>VLOOKUP(B174,[1]Sheet1!B:N,5,0)</f>
        <v>01.0552</v>
      </c>
    </row>
    <row r="175" spans="1:8" x14ac:dyDescent="0.3">
      <c r="A175" s="2"/>
      <c r="B175" t="s">
        <v>250</v>
      </c>
      <c r="C175">
        <f>VLOOKUP(B175,[1]Sheet1!B:N,9,0)</f>
        <v>1.7</v>
      </c>
      <c r="D175" t="str">
        <f>VLOOKUP(B175,[1]Sheet1!B:N,10,0)</f>
        <v>₪</v>
      </c>
      <c r="E175" s="3">
        <f>VLOOKUP(B175,[1]Sheet1!B:N,6,0)</f>
        <v>45971</v>
      </c>
      <c r="F175">
        <v>2</v>
      </c>
      <c r="G175" t="str">
        <f>VLOOKUP(B175,[1]Sheet1!B:N,8,0)</f>
        <v>לוונשטיין טכנולוגיות בע"מ</v>
      </c>
      <c r="H175" t="str">
        <f>VLOOKUP(B175,[1]Sheet1!B:N,5,0)</f>
        <v>01.0606</v>
      </c>
    </row>
    <row r="176" spans="1:8" x14ac:dyDescent="0.3">
      <c r="A176" s="2"/>
      <c r="B176" t="s">
        <v>251</v>
      </c>
      <c r="C176">
        <f>VLOOKUP(B176,[1]Sheet1!B:N,9,0)</f>
        <v>0.99360000000000004</v>
      </c>
      <c r="D176" t="str">
        <f>VLOOKUP(B176,[1]Sheet1!B:N,10,0)</f>
        <v>₪</v>
      </c>
      <c r="E176" s="3">
        <f>VLOOKUP(B176,[1]Sheet1!B:N,6,0)</f>
        <v>45844</v>
      </c>
      <c r="F176">
        <v>2</v>
      </c>
      <c r="G176" t="str">
        <f>VLOOKUP(B176,[1]Sheet1!B:N,8,0)</f>
        <v>דר טכנולוגיות בע"מ</v>
      </c>
      <c r="H176" t="str">
        <f>VLOOKUP(B176,[1]Sheet1!B:N,5,0)</f>
        <v>01.0275</v>
      </c>
    </row>
    <row r="177" spans="1:8" x14ac:dyDescent="0.3">
      <c r="A177" s="2"/>
      <c r="B177" t="s">
        <v>252</v>
      </c>
      <c r="C177">
        <f>VLOOKUP(B177,[1]Sheet1!B:N,9,0)</f>
        <v>0.85</v>
      </c>
      <c r="D177" t="str">
        <f>VLOOKUP(B177,[1]Sheet1!B:N,10,0)</f>
        <v>₪</v>
      </c>
      <c r="E177" s="3">
        <f>VLOOKUP(B177,[1]Sheet1!B:N,6,0)</f>
        <v>44448</v>
      </c>
      <c r="F177">
        <v>2</v>
      </c>
      <c r="G177" t="str">
        <f>VLOOKUP(B177,[1]Sheet1!B:N,8,0)</f>
        <v>לוונשטיין טכנולוגיות</v>
      </c>
      <c r="H177" t="str">
        <f>VLOOKUP(B177,[1]Sheet1!B:N,5,0)</f>
        <v>01.0492</v>
      </c>
    </row>
    <row r="178" spans="1:8" x14ac:dyDescent="0.3">
      <c r="A178" s="2"/>
      <c r="B178" t="s">
        <v>253</v>
      </c>
      <c r="C178">
        <f>VLOOKUP(B178,[1]Sheet1!B:N,9,0)</f>
        <v>1.2</v>
      </c>
      <c r="D178" t="str">
        <f>VLOOKUP(B178,[1]Sheet1!B:N,10,0)</f>
        <v>₪</v>
      </c>
      <c r="E178" s="3">
        <f>VLOOKUP(B178,[1]Sheet1!B:N,6,0)</f>
        <v>44755</v>
      </c>
      <c r="F178">
        <v>2</v>
      </c>
      <c r="G178" t="str">
        <f>VLOOKUP(B178,[1]Sheet1!B:N,8,0)</f>
        <v>לוונשטיין טכנולוגיות בע"מ</v>
      </c>
      <c r="H178" t="str">
        <f>VLOOKUP(B178,[1]Sheet1!B:N,5,0)</f>
        <v>01.0576</v>
      </c>
    </row>
    <row r="179" spans="1:8" x14ac:dyDescent="0.3">
      <c r="A179" s="2"/>
      <c r="B179" t="s">
        <v>254</v>
      </c>
      <c r="C179">
        <f>VLOOKUP(B179,[1]Sheet1!B:N,9,0)</f>
        <v>0.6</v>
      </c>
      <c r="D179" t="str">
        <f>VLOOKUP(B179,[1]Sheet1!B:N,10,0)</f>
        <v>₪</v>
      </c>
      <c r="E179" s="3">
        <f>VLOOKUP(B179,[1]Sheet1!B:N,6,0)</f>
        <v>45197</v>
      </c>
      <c r="F179">
        <v>2</v>
      </c>
      <c r="G179" t="str">
        <f>VLOOKUP(B179,[1]Sheet1!B:N,8,0)</f>
        <v>לוונשטיין טכנולוגיות בע"מ</v>
      </c>
      <c r="H179" t="str">
        <f>VLOOKUP(B179,[1]Sheet1!B:N,5,0)</f>
        <v>01.0103</v>
      </c>
    </row>
    <row r="180" spans="1:8" x14ac:dyDescent="0.3">
      <c r="A180" s="2"/>
      <c r="B180" t="s">
        <v>255</v>
      </c>
      <c r="C180">
        <f>VLOOKUP(B180,[1]Sheet1!B:N,9,0)</f>
        <v>0.75</v>
      </c>
      <c r="D180" t="str">
        <f>VLOOKUP(B180,[1]Sheet1!B:N,10,0)</f>
        <v>₪</v>
      </c>
      <c r="E180" s="3">
        <f>VLOOKUP(B180,[1]Sheet1!B:N,6,0)</f>
        <v>44945</v>
      </c>
      <c r="F180">
        <v>2</v>
      </c>
      <c r="G180" t="str">
        <f>VLOOKUP(B180,[1]Sheet1!B:N,8,0)</f>
        <v>לוונשטיין טכנולוגיות בע"מ</v>
      </c>
      <c r="H180" t="str">
        <f>VLOOKUP(B180,[1]Sheet1!B:N,5,0)</f>
        <v>01.0149</v>
      </c>
    </row>
    <row r="181" spans="1:8" x14ac:dyDescent="0.3">
      <c r="A181" s="2"/>
      <c r="B181" t="s">
        <v>256</v>
      </c>
      <c r="C181">
        <f>VLOOKUP(B181,[1]Sheet1!B:N,9,0)</f>
        <v>0.8</v>
      </c>
      <c r="D181" t="str">
        <f>VLOOKUP(B181,[1]Sheet1!B:N,10,0)</f>
        <v>₪</v>
      </c>
      <c r="E181" s="3">
        <f>VLOOKUP(B181,[1]Sheet1!B:N,6,0)</f>
        <v>45866</v>
      </c>
      <c r="F181">
        <v>2</v>
      </c>
      <c r="G181" t="str">
        <f>VLOOKUP(B181,[1]Sheet1!B:N,8,0)</f>
        <v>דר טכנולוגיות בע"מ</v>
      </c>
      <c r="H181" t="str">
        <f>VLOOKUP(B181,[1]Sheet1!B:N,5,0)</f>
        <v>01.0150</v>
      </c>
    </row>
    <row r="182" spans="1:8" x14ac:dyDescent="0.3">
      <c r="A182" s="2"/>
      <c r="B182" t="s">
        <v>257</v>
      </c>
      <c r="C182">
        <f>VLOOKUP(B182,[1]Sheet1!B:N,9,0)</f>
        <v>1.3</v>
      </c>
      <c r="D182" t="str">
        <f>VLOOKUP(B182,[1]Sheet1!B:N,10,0)</f>
        <v>₪</v>
      </c>
      <c r="E182" s="3">
        <f>VLOOKUP(B182,[1]Sheet1!B:N,6,0)</f>
        <v>44945</v>
      </c>
      <c r="F182">
        <v>2</v>
      </c>
      <c r="G182" t="str">
        <f>VLOOKUP(B182,[1]Sheet1!B:N,8,0)</f>
        <v>דר טכנולוגיות בע"מ</v>
      </c>
      <c r="H182" t="str">
        <f>VLOOKUP(B182,[1]Sheet1!B:N,5,0)</f>
        <v>01.0006</v>
      </c>
    </row>
    <row r="183" spans="1:8" x14ac:dyDescent="0.3">
      <c r="A183" s="2"/>
      <c r="B183" t="s">
        <v>258</v>
      </c>
      <c r="C183">
        <f>VLOOKUP(B183,[1]Sheet1!B:N,9,0)</f>
        <v>2.3952</v>
      </c>
      <c r="D183" t="str">
        <f>VLOOKUP(B183,[1]Sheet1!B:N,10,0)</f>
        <v>₪</v>
      </c>
      <c r="E183" s="3">
        <f>VLOOKUP(B183,[1]Sheet1!B:N,6,0)</f>
        <v>45690</v>
      </c>
      <c r="F183">
        <v>2</v>
      </c>
      <c r="G183" t="str">
        <f>VLOOKUP(B183,[1]Sheet1!B:N,8,0)</f>
        <v>לוונשטיין טכנולוגיות בע"מ</v>
      </c>
      <c r="H183" t="str">
        <f>VLOOKUP(B183,[1]Sheet1!B:N,5,0)</f>
        <v>01.0081</v>
      </c>
    </row>
    <row r="184" spans="1:8" x14ac:dyDescent="0.3">
      <c r="A184" s="2"/>
      <c r="B184" t="s">
        <v>259</v>
      </c>
      <c r="C184">
        <f>VLOOKUP(B184,[1]Sheet1!B:N,9,0)</f>
        <v>6.36</v>
      </c>
      <c r="D184" t="str">
        <f>VLOOKUP(B184,[1]Sheet1!B:N,10,0)</f>
        <v>₪</v>
      </c>
      <c r="E184" s="3">
        <f>VLOOKUP(B184,[1]Sheet1!B:N,6,0)</f>
        <v>41862</v>
      </c>
      <c r="F184">
        <v>2</v>
      </c>
      <c r="G184" t="str">
        <f>VLOOKUP(B184,[1]Sheet1!B:N,8,0)</f>
        <v>גין מהנדסים בע"מ</v>
      </c>
      <c r="H184" t="str">
        <f>VLOOKUP(B184,[1]Sheet1!B:N,5,0)</f>
        <v>01.0089</v>
      </c>
    </row>
    <row r="185" spans="1:8" x14ac:dyDescent="0.3">
      <c r="A185" s="2"/>
      <c r="B185" t="s">
        <v>260</v>
      </c>
      <c r="C185">
        <f>VLOOKUP(B185,[1]Sheet1!B:N,9,0)</f>
        <v>9.6999999999999993</v>
      </c>
      <c r="D185" t="str">
        <f>VLOOKUP(B185,[1]Sheet1!B:N,10,0)</f>
        <v>₪</v>
      </c>
      <c r="E185" s="3">
        <f>VLOOKUP(B185,[1]Sheet1!B:N,6,0)</f>
        <v>45763</v>
      </c>
      <c r="F185">
        <v>2</v>
      </c>
      <c r="G185" t="str">
        <f>VLOOKUP(B185,[1]Sheet1!B:N,8,0)</f>
        <v>גין מהנדסים בע"מ</v>
      </c>
      <c r="H185" t="str">
        <f>VLOOKUP(B185,[1]Sheet1!B:N,5,0)</f>
        <v>01.0290</v>
      </c>
    </row>
    <row r="186" spans="1:8" x14ac:dyDescent="0.3">
      <c r="A186" s="2"/>
      <c r="B186" t="s">
        <v>261</v>
      </c>
      <c r="C186">
        <f>VLOOKUP(B186,[1]Sheet1!B:N,9,0)</f>
        <v>465.5</v>
      </c>
      <c r="D186" t="str">
        <f>VLOOKUP(B186,[1]Sheet1!B:N,10,0)</f>
        <v>₪</v>
      </c>
      <c r="E186" s="3">
        <f>VLOOKUP(B186,[1]Sheet1!B:N,6,0)</f>
        <v>45697</v>
      </c>
      <c r="F186">
        <v>2</v>
      </c>
      <c r="G186" t="str">
        <f>VLOOKUP(B186,[1]Sheet1!B:N,8,0)</f>
        <v>לוונשטיין טכנולוגיות בע"מ</v>
      </c>
      <c r="H186" t="str">
        <f>VLOOKUP(B186,[1]Sheet1!B:N,5,0)</f>
        <v>01.0678</v>
      </c>
    </row>
    <row r="187" spans="1:8" x14ac:dyDescent="0.3">
      <c r="A187" s="2"/>
      <c r="B187" t="s">
        <v>262</v>
      </c>
      <c r="C187">
        <f>VLOOKUP(B187,[1]Sheet1!B:N,9,0)</f>
        <v>840</v>
      </c>
      <c r="D187" t="str">
        <f>VLOOKUP(B187,[1]Sheet1!B:N,10,0)</f>
        <v>₪</v>
      </c>
      <c r="E187" s="3">
        <f>VLOOKUP(B187,[1]Sheet1!B:N,6,0)</f>
        <v>46061</v>
      </c>
      <c r="F187">
        <v>2</v>
      </c>
      <c r="G187" t="str">
        <f>VLOOKUP(B187,[1]Sheet1!B:N,8,0)</f>
        <v>לוונשטיין טכנולוגיות בע"מ</v>
      </c>
      <c r="H187" t="str">
        <f>VLOOKUP(B187,[1]Sheet1!B:N,5,0)</f>
        <v>01.0694</v>
      </c>
    </row>
    <row r="188" spans="1:8" x14ac:dyDescent="0.3">
      <c r="A188" s="2"/>
      <c r="B188" t="s">
        <v>263</v>
      </c>
      <c r="C188">
        <f>VLOOKUP(B188,[1]Sheet1!B:N,9,0)</f>
        <v>592.9</v>
      </c>
      <c r="D188" t="str">
        <f>VLOOKUP(B188,[1]Sheet1!B:N,10,0)</f>
        <v>₪</v>
      </c>
      <c r="E188" s="3">
        <f>VLOOKUP(B188,[1]Sheet1!B:N,6,0)</f>
        <v>45697</v>
      </c>
      <c r="F188">
        <v>2</v>
      </c>
      <c r="G188" t="str">
        <f>VLOOKUP(B188,[1]Sheet1!B:N,8,0)</f>
        <v>לוונשטיין טכנולוגיות בע"מ</v>
      </c>
      <c r="H188" t="str">
        <f>VLOOKUP(B188,[1]Sheet1!B:N,5,0)</f>
        <v>01.0679</v>
      </c>
    </row>
    <row r="189" spans="1:8" x14ac:dyDescent="0.3">
      <c r="A189" s="2"/>
      <c r="B189" t="s">
        <v>264</v>
      </c>
      <c r="C189">
        <f>VLOOKUP(B189,[1]Sheet1!B:N,9,0)</f>
        <v>372.4</v>
      </c>
      <c r="D189" t="str">
        <f>VLOOKUP(B189,[1]Sheet1!B:N,10,0)</f>
        <v>₪</v>
      </c>
      <c r="E189" s="3">
        <f>VLOOKUP(B189,[1]Sheet1!B:N,6,0)</f>
        <v>45697</v>
      </c>
      <c r="F189">
        <v>2</v>
      </c>
      <c r="G189" t="str">
        <f>VLOOKUP(B189,[1]Sheet1!B:N,8,0)</f>
        <v>לוונשטיין טכנולוגיות בע"מ</v>
      </c>
      <c r="H189" t="str">
        <f>VLOOKUP(B189,[1]Sheet1!B:N,5,0)</f>
        <v>01.0317</v>
      </c>
    </row>
    <row r="190" spans="1:8" x14ac:dyDescent="0.3">
      <c r="A190" s="2"/>
      <c r="B190" t="s">
        <v>265</v>
      </c>
      <c r="C190">
        <f>VLOOKUP(B190,[1]Sheet1!B:N,9,0)</f>
        <v>372.4</v>
      </c>
      <c r="D190" t="str">
        <f>VLOOKUP(B190,[1]Sheet1!B:N,10,0)</f>
        <v>₪</v>
      </c>
      <c r="E190" s="3">
        <f>VLOOKUP(B190,[1]Sheet1!B:N,6,0)</f>
        <v>45697</v>
      </c>
      <c r="F190">
        <v>2</v>
      </c>
      <c r="G190" t="str">
        <f>VLOOKUP(B190,[1]Sheet1!B:N,8,0)</f>
        <v>לוונשטיין טכנולוגיות בע"מ</v>
      </c>
      <c r="H190" t="str">
        <f>VLOOKUP(B190,[1]Sheet1!B:N,5,0)</f>
        <v>01.0681</v>
      </c>
    </row>
    <row r="191" spans="1:8" x14ac:dyDescent="0.3">
      <c r="A191" s="2"/>
      <c r="B191" t="s">
        <v>266</v>
      </c>
      <c r="C191">
        <f>VLOOKUP(B191,[1]Sheet1!B:N,9,0)</f>
        <v>254.8</v>
      </c>
      <c r="D191" t="str">
        <f>VLOOKUP(B191,[1]Sheet1!B:N,10,0)</f>
        <v>₪</v>
      </c>
      <c r="E191" s="3">
        <f>VLOOKUP(B191,[1]Sheet1!B:N,6,0)</f>
        <v>45697</v>
      </c>
      <c r="F191">
        <v>2</v>
      </c>
      <c r="G191" t="str">
        <f>VLOOKUP(B191,[1]Sheet1!B:N,8,0)</f>
        <v>לוונשטיין טכנולוגיות בע"מ</v>
      </c>
      <c r="H191" t="str">
        <f>VLOOKUP(B191,[1]Sheet1!B:N,5,0)</f>
        <v>01.0682</v>
      </c>
    </row>
    <row r="192" spans="1:8" x14ac:dyDescent="0.3">
      <c r="A192" s="2"/>
      <c r="B192" t="s">
        <v>267</v>
      </c>
      <c r="C192">
        <f>VLOOKUP(B192,[1]Sheet1!B:N,9,0)</f>
        <v>372.4</v>
      </c>
      <c r="D192" t="str">
        <f>VLOOKUP(B192,[1]Sheet1!B:N,10,0)</f>
        <v>₪</v>
      </c>
      <c r="E192" s="3">
        <f>VLOOKUP(B192,[1]Sheet1!B:N,6,0)</f>
        <v>45697</v>
      </c>
      <c r="F192">
        <v>2</v>
      </c>
      <c r="G192" t="str">
        <f>VLOOKUP(B192,[1]Sheet1!B:N,8,0)</f>
        <v>לוונשטיין טכנולוגיות בע"מ</v>
      </c>
      <c r="H192" t="str">
        <f>VLOOKUP(B192,[1]Sheet1!B:N,5,0)</f>
        <v>01.0680</v>
      </c>
    </row>
    <row r="193" spans="1:8" x14ac:dyDescent="0.3">
      <c r="A193" s="2"/>
      <c r="B193" t="s">
        <v>268</v>
      </c>
      <c r="C193">
        <f>VLOOKUP(B193,[1]Sheet1!B:N,9,0)</f>
        <v>780</v>
      </c>
      <c r="D193" t="str">
        <f>VLOOKUP(B193,[1]Sheet1!B:N,10,0)</f>
        <v>₪</v>
      </c>
      <c r="E193" s="3">
        <f>VLOOKUP(B193,[1]Sheet1!B:N,6,0)</f>
        <v>45921</v>
      </c>
      <c r="F193">
        <v>2</v>
      </c>
      <c r="G193" t="str">
        <f>VLOOKUP(B193,[1]Sheet1!B:N,8,0)</f>
        <v>מאור גבריאלי הספקה ט</v>
      </c>
      <c r="H193" t="str">
        <f>VLOOKUP(B193,[1]Sheet1!B:N,5,0)</f>
        <v>01.0719</v>
      </c>
    </row>
    <row r="194" spans="1:8" x14ac:dyDescent="0.3">
      <c r="A194" s="2"/>
      <c r="B194" t="s">
        <v>269</v>
      </c>
      <c r="C194">
        <f>VLOOKUP(B194,[1]Sheet1!B:N,9,0)</f>
        <v>500</v>
      </c>
      <c r="D194" t="str">
        <f>VLOOKUP(B194,[1]Sheet1!B:N,10,0)</f>
        <v>₪</v>
      </c>
      <c r="E194" s="3">
        <f>VLOOKUP(B194,[1]Sheet1!B:N,6,0)</f>
        <v>46061</v>
      </c>
      <c r="F194">
        <v>2</v>
      </c>
      <c r="G194" t="str">
        <f>VLOOKUP(B194,[1]Sheet1!B:N,8,0)</f>
        <v>לוונשטיין טכנולוגיות בע"מ</v>
      </c>
      <c r="H194" t="str">
        <f>VLOOKUP(B194,[1]Sheet1!B:N,5,0)</f>
        <v>01.0507</v>
      </c>
    </row>
    <row r="195" spans="1:8" x14ac:dyDescent="0.3">
      <c r="A195" s="2"/>
      <c r="B195" t="s">
        <v>270</v>
      </c>
      <c r="C195">
        <f>VLOOKUP(B195,[1]Sheet1!B:N,9,0)</f>
        <v>250</v>
      </c>
      <c r="D195" t="str">
        <f>VLOOKUP(B195,[1]Sheet1!B:N,10,0)</f>
        <v>₪</v>
      </c>
      <c r="E195" s="3">
        <f>VLOOKUP(B195,[1]Sheet1!B:N,6,0)</f>
        <v>43692</v>
      </c>
      <c r="F195">
        <v>2</v>
      </c>
      <c r="G195" t="str">
        <f>VLOOKUP(B195,[1]Sheet1!B:N,8,0)</f>
        <v>לוונשטיין טכנולוגיות</v>
      </c>
      <c r="H195" t="str">
        <f>VLOOKUP(B195,[1]Sheet1!B:N,5,0)</f>
        <v>01.0490</v>
      </c>
    </row>
    <row r="196" spans="1:8" x14ac:dyDescent="0.3">
      <c r="A196" s="2"/>
      <c r="B196" t="s">
        <v>271</v>
      </c>
      <c r="C196">
        <f>VLOOKUP(B196,[1]Sheet1!B:N,9,0)</f>
        <v>375</v>
      </c>
      <c r="D196" t="str">
        <f>VLOOKUP(B196,[1]Sheet1!B:N,10,0)</f>
        <v>₪</v>
      </c>
      <c r="E196" s="3">
        <f>VLOOKUP(B196,[1]Sheet1!B:N,6,0)</f>
        <v>45550</v>
      </c>
      <c r="F196">
        <v>2</v>
      </c>
      <c r="G196" t="str">
        <f>VLOOKUP(B196,[1]Sheet1!B:N,8,0)</f>
        <v>לוונשטיין טכנולוגיות בע"מ</v>
      </c>
      <c r="H196" t="str">
        <f>VLOOKUP(B196,[1]Sheet1!B:N,5,0)</f>
        <v>01.0652</v>
      </c>
    </row>
    <row r="197" spans="1:8" x14ac:dyDescent="0.3">
      <c r="A197" s="2"/>
      <c r="B197" t="s">
        <v>272</v>
      </c>
      <c r="C197">
        <f>VLOOKUP(B197,[1]Sheet1!B:N,9,0)</f>
        <v>185</v>
      </c>
      <c r="D197" t="str">
        <f>VLOOKUP(B197,[1]Sheet1!B:N,10,0)</f>
        <v>₪</v>
      </c>
      <c r="E197" s="3">
        <f>VLOOKUP(B197,[1]Sheet1!B:N,6,0)</f>
        <v>45102</v>
      </c>
      <c r="F197">
        <v>2</v>
      </c>
      <c r="G197" t="str">
        <f>VLOOKUP(B197,[1]Sheet1!B:N,8,0)</f>
        <v>לוונשטיין טכנולוגיות בע"מ</v>
      </c>
      <c r="H197" t="str">
        <f>VLOOKUP(B197,[1]Sheet1!B:N,5,0)</f>
        <v>01.0607</v>
      </c>
    </row>
    <row r="198" spans="1:8" x14ac:dyDescent="0.3">
      <c r="A198" s="2"/>
      <c r="B198" t="s">
        <v>273</v>
      </c>
      <c r="C198">
        <f>VLOOKUP(B198,[1]Sheet1!B:N,9,0)</f>
        <v>284.2</v>
      </c>
      <c r="D198" t="str">
        <f>VLOOKUP(B198,[1]Sheet1!B:N,10,0)</f>
        <v>₪</v>
      </c>
      <c r="E198" s="3">
        <f>VLOOKUP(B198,[1]Sheet1!B:N,6,0)</f>
        <v>45697</v>
      </c>
      <c r="F198">
        <v>2</v>
      </c>
      <c r="G198" t="str">
        <f>VLOOKUP(B198,[1]Sheet1!B:N,8,0)</f>
        <v>לוונשטיין טכנולוגיות בע"מ</v>
      </c>
      <c r="H198" t="str">
        <f>VLOOKUP(B198,[1]Sheet1!B:N,5,0)</f>
        <v>01.0684</v>
      </c>
    </row>
    <row r="199" spans="1:8" x14ac:dyDescent="0.3">
      <c r="A199" s="2"/>
      <c r="B199" t="s">
        <v>274</v>
      </c>
      <c r="C199">
        <f>VLOOKUP(B199,[1]Sheet1!B:N,9,0)</f>
        <v>284.2</v>
      </c>
      <c r="D199" t="str">
        <f>VLOOKUP(B199,[1]Sheet1!B:N,10,0)</f>
        <v>₪</v>
      </c>
      <c r="E199" s="3">
        <f>VLOOKUP(B199,[1]Sheet1!B:N,6,0)</f>
        <v>45697</v>
      </c>
      <c r="F199">
        <v>2</v>
      </c>
      <c r="G199" t="str">
        <f>VLOOKUP(B199,[1]Sheet1!B:N,8,0)</f>
        <v>לוונשטיין טכנולוגיות בע"מ</v>
      </c>
      <c r="H199" t="str">
        <f>VLOOKUP(B199,[1]Sheet1!B:N,5,0)</f>
        <v>01.0685</v>
      </c>
    </row>
    <row r="200" spans="1:8" x14ac:dyDescent="0.3">
      <c r="A200" s="2"/>
      <c r="B200" t="s">
        <v>275</v>
      </c>
      <c r="C200">
        <f>VLOOKUP(B200,[1]Sheet1!B:N,9,0)</f>
        <v>284.2</v>
      </c>
      <c r="D200" t="str">
        <f>VLOOKUP(B200,[1]Sheet1!B:N,10,0)</f>
        <v>₪</v>
      </c>
      <c r="E200" s="3">
        <f>VLOOKUP(B200,[1]Sheet1!B:N,6,0)</f>
        <v>45697</v>
      </c>
      <c r="F200">
        <v>2</v>
      </c>
      <c r="G200" t="str">
        <f>VLOOKUP(B200,[1]Sheet1!B:N,8,0)</f>
        <v>לוונשטיין טכנולוגיות בע"מ</v>
      </c>
      <c r="H200" t="str">
        <f>VLOOKUP(B200,[1]Sheet1!B:N,5,0)</f>
        <v>01.0686</v>
      </c>
    </row>
    <row r="201" spans="1:8" x14ac:dyDescent="0.3">
      <c r="A201" s="2"/>
      <c r="B201" t="s">
        <v>276</v>
      </c>
      <c r="C201">
        <f>VLOOKUP(B201,[1]Sheet1!B:N,9,0)</f>
        <v>340</v>
      </c>
      <c r="D201" t="str">
        <f>VLOOKUP(B201,[1]Sheet1!B:N,10,0)</f>
        <v>₪</v>
      </c>
      <c r="E201" s="3">
        <f>VLOOKUP(B201,[1]Sheet1!B:N,6,0)</f>
        <v>44104</v>
      </c>
      <c r="F201">
        <v>2</v>
      </c>
      <c r="G201" t="str">
        <f>VLOOKUP(B201,[1]Sheet1!B:N,8,0)</f>
        <v>לוונשטיין טכנולוגיות</v>
      </c>
      <c r="H201" t="str">
        <f>VLOOKUP(B201,[1]Sheet1!B:N,5,0)</f>
        <v>01.0489</v>
      </c>
    </row>
    <row r="202" spans="1:8" x14ac:dyDescent="0.3">
      <c r="A202" s="2"/>
      <c r="B202" t="s">
        <v>277</v>
      </c>
      <c r="C202">
        <f>VLOOKUP(B202,[1]Sheet1!B:N,9,0)</f>
        <v>284.2</v>
      </c>
      <c r="D202" t="str">
        <f>VLOOKUP(B202,[1]Sheet1!B:N,10,0)</f>
        <v>₪</v>
      </c>
      <c r="E202" s="3">
        <f>VLOOKUP(B202,[1]Sheet1!B:N,6,0)</f>
        <v>45697</v>
      </c>
      <c r="F202">
        <v>2</v>
      </c>
      <c r="G202" t="str">
        <f>VLOOKUP(B202,[1]Sheet1!B:N,8,0)</f>
        <v>לוונשטיין טכנולוגיות בע"מ</v>
      </c>
      <c r="H202" t="str">
        <f>VLOOKUP(B202,[1]Sheet1!B:N,5,0)</f>
        <v>01.0683</v>
      </c>
    </row>
    <row r="203" spans="1:8" x14ac:dyDescent="0.3">
      <c r="A203" s="2"/>
      <c r="B203" t="s">
        <v>278</v>
      </c>
      <c r="C203">
        <f>VLOOKUP(B203,[1]Sheet1!B:N,9,0)</f>
        <v>375</v>
      </c>
      <c r="D203" t="str">
        <f>VLOOKUP(B203,[1]Sheet1!B:N,10,0)</f>
        <v>₪</v>
      </c>
      <c r="E203" s="3">
        <f>VLOOKUP(B203,[1]Sheet1!B:N,6,0)</f>
        <v>45550</v>
      </c>
      <c r="F203">
        <v>2</v>
      </c>
      <c r="G203" t="str">
        <f>VLOOKUP(B203,[1]Sheet1!B:N,8,0)</f>
        <v>לוונשטיין טכנולוגיות בע"מ</v>
      </c>
      <c r="H203" t="str">
        <f>VLOOKUP(B203,[1]Sheet1!B:N,5,0)</f>
        <v>01.0611</v>
      </c>
    </row>
    <row r="204" spans="1:8" x14ac:dyDescent="0.3">
      <c r="A204" s="2"/>
      <c r="B204" t="s">
        <v>279</v>
      </c>
      <c r="C204">
        <f>VLOOKUP(B204,[1]Sheet1!B:N,9,0)</f>
        <v>372.4</v>
      </c>
      <c r="D204" t="str">
        <f>VLOOKUP(B204,[1]Sheet1!B:N,10,0)</f>
        <v>₪</v>
      </c>
      <c r="E204" s="3">
        <f>VLOOKUP(B204,[1]Sheet1!B:N,6,0)</f>
        <v>45697</v>
      </c>
      <c r="F204">
        <v>2</v>
      </c>
      <c r="G204" t="str">
        <f>VLOOKUP(B204,[1]Sheet1!B:N,8,0)</f>
        <v>לוונשטיין טכנולוגיות בע"מ</v>
      </c>
      <c r="H204" t="str">
        <f>VLOOKUP(B204,[1]Sheet1!B:N,5,0)</f>
        <v>01.0537</v>
      </c>
    </row>
    <row r="205" spans="1:8" x14ac:dyDescent="0.3">
      <c r="A205" s="2"/>
      <c r="B205" t="s">
        <v>280</v>
      </c>
      <c r="C205">
        <f>VLOOKUP(B205,[1]Sheet1!B:N,9,0)</f>
        <v>161.69999999999999</v>
      </c>
      <c r="D205" t="str">
        <f>VLOOKUP(B205,[1]Sheet1!B:N,10,0)</f>
        <v>₪</v>
      </c>
      <c r="E205" s="3">
        <f>VLOOKUP(B205,[1]Sheet1!B:N,6,0)</f>
        <v>45697</v>
      </c>
      <c r="F205">
        <v>2</v>
      </c>
      <c r="G205" t="str">
        <f>VLOOKUP(B205,[1]Sheet1!B:N,8,0)</f>
        <v>לוונשטיין טכנולוגיות בע"מ</v>
      </c>
      <c r="H205" t="str">
        <f>VLOOKUP(B205,[1]Sheet1!B:N,5,0)</f>
        <v>01.0519</v>
      </c>
    </row>
    <row r="206" spans="1:8" x14ac:dyDescent="0.3">
      <c r="A206" s="2"/>
      <c r="B206" t="s">
        <v>281</v>
      </c>
      <c r="C206">
        <f>VLOOKUP(B206,[1]Sheet1!B:N,9,0)</f>
        <v>161.69999999999999</v>
      </c>
      <c r="D206" t="str">
        <f>VLOOKUP(B206,[1]Sheet1!B:N,10,0)</f>
        <v>₪</v>
      </c>
      <c r="E206" s="3">
        <f>VLOOKUP(B206,[1]Sheet1!B:N,6,0)</f>
        <v>45697</v>
      </c>
      <c r="F206">
        <v>2</v>
      </c>
      <c r="G206" t="str">
        <f>VLOOKUP(B206,[1]Sheet1!B:N,8,0)</f>
        <v>לוונשטיין טכנולוגיות בע"מ</v>
      </c>
      <c r="H206" t="str">
        <f>VLOOKUP(B206,[1]Sheet1!B:N,5,0)</f>
        <v>01.0586</v>
      </c>
    </row>
    <row r="207" spans="1:8" x14ac:dyDescent="0.3">
      <c r="A207" s="2"/>
      <c r="B207" t="s">
        <v>282</v>
      </c>
      <c r="C207">
        <f>VLOOKUP(B207,[1]Sheet1!B:N,9,0)</f>
        <v>161.69999999999999</v>
      </c>
      <c r="D207" t="str">
        <f>VLOOKUP(B207,[1]Sheet1!B:N,10,0)</f>
        <v>₪</v>
      </c>
      <c r="E207" s="3">
        <f>VLOOKUP(B207,[1]Sheet1!B:N,6,0)</f>
        <v>45697</v>
      </c>
      <c r="F207">
        <v>2</v>
      </c>
      <c r="G207" t="str">
        <f>VLOOKUP(B207,[1]Sheet1!B:N,8,0)</f>
        <v>לוונשטיין טכנולוגיות בע"מ</v>
      </c>
      <c r="H207" t="str">
        <f>VLOOKUP(B207,[1]Sheet1!B:N,5,0)</f>
        <v>01.0520</v>
      </c>
    </row>
    <row r="208" spans="1:8" x14ac:dyDescent="0.3">
      <c r="A208" s="2"/>
      <c r="B208" t="s">
        <v>283</v>
      </c>
      <c r="C208">
        <f>VLOOKUP(B208,[1]Sheet1!B:N,9,0)</f>
        <v>165</v>
      </c>
      <c r="D208" t="str">
        <f>VLOOKUP(B208,[1]Sheet1!B:N,10,0)</f>
        <v>₪</v>
      </c>
      <c r="E208" s="3">
        <f>VLOOKUP(B208,[1]Sheet1!B:N,6,0)</f>
        <v>45603</v>
      </c>
      <c r="F208">
        <v>2</v>
      </c>
      <c r="G208" t="str">
        <f>VLOOKUP(B208,[1]Sheet1!B:N,8,0)</f>
        <v>אלקון - ממב מכשירי בקרה</v>
      </c>
      <c r="H208" t="str">
        <f>VLOOKUP(B208,[1]Sheet1!B:N,5,0)</f>
        <v>01.0233</v>
      </c>
    </row>
    <row r="209" spans="1:8" x14ac:dyDescent="0.3">
      <c r="A209" s="2" t="s">
        <v>215</v>
      </c>
      <c r="B209" t="s">
        <v>71</v>
      </c>
      <c r="C209">
        <f>VLOOKUP(B209,[1]Sheet1!B:N,9,0)</f>
        <v>5.5</v>
      </c>
      <c r="D209" t="str">
        <f>VLOOKUP(B209,[1]Sheet1!B:N,10,0)</f>
        <v>₪</v>
      </c>
      <c r="E209" s="3">
        <f>VLOOKUP(B209,[1]Sheet1!B:N,6,0)</f>
        <v>46064</v>
      </c>
      <c r="F209">
        <v>2</v>
      </c>
      <c r="G209" t="str">
        <f>VLOOKUP(B209,[1]Sheet1!B:N,8,0)</f>
        <v>ברמיל בע"מ</v>
      </c>
      <c r="H209" t="str">
        <f>VLOOKUP(B209,[1]Sheet1!B:N,5,0)</f>
        <v>01.0014</v>
      </c>
    </row>
    <row r="210" spans="1:8" x14ac:dyDescent="0.3">
      <c r="A210" s="2" t="s">
        <v>215</v>
      </c>
      <c r="B210" t="s">
        <v>284</v>
      </c>
      <c r="C210">
        <f>VLOOKUP(B210,[1]Sheet1!B:N,9,0)</f>
        <v>0.95</v>
      </c>
      <c r="D210" t="str">
        <f>VLOOKUP(B210,[1]Sheet1!B:N,10,0)</f>
        <v>$</v>
      </c>
      <c r="E210" s="3">
        <f>VLOOKUP(B210,[1]Sheet1!B:N,6,0)</f>
        <v>41252</v>
      </c>
      <c r="F210">
        <v>2</v>
      </c>
      <c r="G210" t="str">
        <f>VLOOKUP(B210,[1]Sheet1!B:N,8,0)</f>
        <v>לוונשטיין טכנולוגיות</v>
      </c>
      <c r="H210" t="str">
        <f>VLOOKUP(B210,[1]Sheet1!B:N,5,0)</f>
        <v>01.0014</v>
      </c>
    </row>
    <row r="211" spans="1:8" x14ac:dyDescent="0.3">
      <c r="A211" s="2" t="s">
        <v>285</v>
      </c>
      <c r="B211" t="s">
        <v>286</v>
      </c>
      <c r="C211">
        <f>VLOOKUP(B211,[1]Sheet1!B:N,9,0)</f>
        <v>5.93</v>
      </c>
      <c r="D211" t="str">
        <f>VLOOKUP(B211,[1]Sheet1!B:N,10,0)</f>
        <v>₪</v>
      </c>
      <c r="E211" s="3">
        <f>VLOOKUP(B211,[1]Sheet1!B:N,6,0)</f>
        <v>43956</v>
      </c>
      <c r="F211">
        <v>2</v>
      </c>
      <c r="G211" t="str">
        <f>VLOOKUP(B211,[1]Sheet1!B:N,8,0)</f>
        <v>גין מהנדסים בע"מ</v>
      </c>
      <c r="H211" t="str">
        <f>VLOOKUP(B211,[1]Sheet1!B:N,5,0)</f>
        <v>01.0231</v>
      </c>
    </row>
    <row r="212" spans="1:8" x14ac:dyDescent="0.3">
      <c r="A212" s="2" t="s">
        <v>287</v>
      </c>
      <c r="B212" t="s">
        <v>98</v>
      </c>
      <c r="C212">
        <f>VLOOKUP(B212,[1]Sheet1!B:N,9,0)</f>
        <v>12</v>
      </c>
      <c r="D212" t="str">
        <f>VLOOKUP(B212,[1]Sheet1!B:N,10,0)</f>
        <v>₪</v>
      </c>
      <c r="E212" s="3">
        <f>VLOOKUP(B212,[1]Sheet1!B:N,6,0)</f>
        <v>45762</v>
      </c>
      <c r="F212">
        <v>2</v>
      </c>
      <c r="G212" t="str">
        <f>VLOOKUP(B212,[1]Sheet1!B:N,8,0)</f>
        <v>גין מהנדסים בע"מ</v>
      </c>
      <c r="H212" t="str">
        <f>VLOOKUP(B212,[1]Sheet1!B:N,5,0)</f>
        <v>01.0161</v>
      </c>
    </row>
    <row r="213" spans="1:8" x14ac:dyDescent="0.3">
      <c r="A213" s="2" t="s">
        <v>288</v>
      </c>
      <c r="B213" t="s">
        <v>289</v>
      </c>
      <c r="C213">
        <f>VLOOKUP(B213,[1]Sheet1!B:N,9,0)</f>
        <v>0.75</v>
      </c>
      <c r="D213" t="str">
        <f>VLOOKUP(B213,[1]Sheet1!B:N,10,0)</f>
        <v>₪</v>
      </c>
      <c r="E213" s="3">
        <f>VLOOKUP(B213,[1]Sheet1!B:N,6,0)</f>
        <v>43682</v>
      </c>
      <c r="F213">
        <v>2</v>
      </c>
      <c r="G213" t="str">
        <f>VLOOKUP(B213,[1]Sheet1!B:N,8,0)</f>
        <v>דר טכנולוגיות בע"מ</v>
      </c>
      <c r="H213" t="str">
        <f>VLOOKUP(B213,[1]Sheet1!B:N,5,0)</f>
        <v>01.0018</v>
      </c>
    </row>
    <row r="214" spans="1:8" x14ac:dyDescent="0.3">
      <c r="A214" s="2" t="s">
        <v>290</v>
      </c>
      <c r="B214" t="s">
        <v>291</v>
      </c>
      <c r="C214">
        <f>VLOOKUP(B214,[1]Sheet1!B:N,9,0)</f>
        <v>1.5</v>
      </c>
      <c r="D214" t="str">
        <f>VLOOKUP(B214,[1]Sheet1!B:N,10,0)</f>
        <v>₪</v>
      </c>
      <c r="E214" s="3">
        <f>VLOOKUP(B214,[1]Sheet1!B:N,6,0)</f>
        <v>45335</v>
      </c>
      <c r="F214">
        <v>2</v>
      </c>
      <c r="G214" t="str">
        <f>VLOOKUP(B214,[1]Sheet1!B:N,8,0)</f>
        <v>דר טכנולוגיות בע"מ</v>
      </c>
      <c r="H214" t="str">
        <f>VLOOKUP(B214,[1]Sheet1!B:N,5,0)</f>
        <v>01.0082</v>
      </c>
    </row>
    <row r="215" spans="1:8" x14ac:dyDescent="0.3">
      <c r="A215" s="2" t="s">
        <v>225</v>
      </c>
      <c r="B215" t="s">
        <v>292</v>
      </c>
      <c r="C215">
        <f>VLOOKUP(B215,[1]Sheet1!B:N,9,0)</f>
        <v>5.9</v>
      </c>
      <c r="D215" t="str">
        <f>VLOOKUP(B215,[1]Sheet1!B:N,10,0)</f>
        <v>₪</v>
      </c>
      <c r="E215" s="3">
        <f>VLOOKUP(B215,[1]Sheet1!B:N,6,0)</f>
        <v>46049</v>
      </c>
      <c r="F215">
        <v>2</v>
      </c>
      <c r="G215" t="str">
        <f>VLOOKUP(B215,[1]Sheet1!B:N,8,0)</f>
        <v>גין מהנדסים בע"מ</v>
      </c>
      <c r="H215" t="str">
        <f>VLOOKUP(B215,[1]Sheet1!B:N,5,0)</f>
        <v>01.0131</v>
      </c>
    </row>
    <row r="216" spans="1:8" x14ac:dyDescent="0.3">
      <c r="A216" s="2" t="s">
        <v>293</v>
      </c>
      <c r="B216" t="s">
        <v>294</v>
      </c>
      <c r="C216">
        <f>VLOOKUP(B216,[1]Sheet1!B:N,9,0)</f>
        <v>18</v>
      </c>
      <c r="D216" t="str">
        <f>VLOOKUP(B216,[1]Sheet1!B:N,10,0)</f>
        <v>₪</v>
      </c>
      <c r="E216" s="3">
        <f>VLOOKUP(B216,[1]Sheet1!B:N,6,0)</f>
        <v>43909</v>
      </c>
      <c r="F216">
        <v>2</v>
      </c>
      <c r="G216" t="str">
        <f>VLOOKUP(B216,[1]Sheet1!B:N,8,0)</f>
        <v>גין מהנדסים בע"מ</v>
      </c>
      <c r="H216" t="str">
        <f>VLOOKUP(B216,[1]Sheet1!B:N,5,0)</f>
        <v>01.0113</v>
      </c>
    </row>
    <row r="217" spans="1:8" x14ac:dyDescent="0.3">
      <c r="A217" s="2" t="s">
        <v>20</v>
      </c>
      <c r="B217" t="s">
        <v>295</v>
      </c>
      <c r="C217">
        <f>VLOOKUP(B217,[1]Sheet1!B:N,9,0)</f>
        <v>0</v>
      </c>
      <c r="D217" t="str">
        <f>VLOOKUP(B217,[1]Sheet1!B:N,10,0)</f>
        <v>₪</v>
      </c>
      <c r="E217" s="3">
        <f>VLOOKUP(B217,[1]Sheet1!B:N,6,0)</f>
        <v>41406</v>
      </c>
      <c r="F217">
        <v>2</v>
      </c>
      <c r="G217" t="str">
        <f>VLOOKUP(B217,[1]Sheet1!B:N,8,0)</f>
        <v>מלאי מקומי בע"מ</v>
      </c>
      <c r="H217" t="str">
        <f>VLOOKUP(B217,[1]Sheet1!B:N,5,0)</f>
        <v>01.0004</v>
      </c>
    </row>
    <row r="218" spans="1:8" x14ac:dyDescent="0.3">
      <c r="A218" s="2" t="s">
        <v>296</v>
      </c>
      <c r="B218" t="s">
        <v>297</v>
      </c>
      <c r="C218">
        <f>VLOOKUP(B218,[1]Sheet1!B:N,9,0)</f>
        <v>7.7</v>
      </c>
      <c r="D218" t="str">
        <f>VLOOKUP(B218,[1]Sheet1!B:N,10,0)</f>
        <v>₪</v>
      </c>
      <c r="E218" s="3">
        <f>VLOOKUP(B218,[1]Sheet1!B:N,6,0)</f>
        <v>45334</v>
      </c>
      <c r="F218">
        <v>2</v>
      </c>
      <c r="G218" t="str">
        <f>VLOOKUP(B218,[1]Sheet1!B:N,8,0)</f>
        <v>גין מהנדסים בע"מ</v>
      </c>
      <c r="H218" t="str">
        <f>VLOOKUP(B218,[1]Sheet1!B:N,5,0)</f>
        <v>01.0054</v>
      </c>
    </row>
    <row r="219" spans="1:8" x14ac:dyDescent="0.3">
      <c r="A219" s="2" t="s">
        <v>298</v>
      </c>
      <c r="B219" t="s">
        <v>96</v>
      </c>
      <c r="C219">
        <f>VLOOKUP(B219,[1]Sheet1!B:N,9,0)</f>
        <v>6.5</v>
      </c>
      <c r="D219" t="str">
        <f>VLOOKUP(B219,[1]Sheet1!B:N,10,0)</f>
        <v>₪</v>
      </c>
      <c r="E219" s="3">
        <f>VLOOKUP(B219,[1]Sheet1!B:N,6,0)</f>
        <v>45739</v>
      </c>
      <c r="F219">
        <v>2</v>
      </c>
      <c r="G219" t="str">
        <f>VLOOKUP(B219,[1]Sheet1!B:N,8,0)</f>
        <v>לוונשטיין טכנולוגיות בע"מ</v>
      </c>
      <c r="H219" t="str">
        <f>VLOOKUP(B219,[1]Sheet1!B:N,5,0)</f>
        <v>01.0254</v>
      </c>
    </row>
    <row r="220" spans="1:8" x14ac:dyDescent="0.3">
      <c r="A220" s="2" t="s">
        <v>299</v>
      </c>
      <c r="B220" t="s">
        <v>300</v>
      </c>
      <c r="C220">
        <f>VLOOKUP(B220,[1]Sheet1!B:N,9,0)</f>
        <v>20</v>
      </c>
      <c r="D220" t="str">
        <f>VLOOKUP(B220,[1]Sheet1!B:N,10,0)</f>
        <v>₪</v>
      </c>
      <c r="E220" s="3">
        <f>VLOOKUP(B220,[1]Sheet1!B:N,6,0)</f>
        <v>45908</v>
      </c>
      <c r="F220">
        <v>2</v>
      </c>
      <c r="G220" t="str">
        <f>VLOOKUP(B220,[1]Sheet1!B:N,8,0)</f>
        <v>דר טכנולוגיות בע"מ</v>
      </c>
      <c r="H220" t="str">
        <f>VLOOKUP(B220,[1]Sheet1!B:N,5,0)</f>
        <v>01.0267</v>
      </c>
    </row>
    <row r="221" spans="1:8" x14ac:dyDescent="0.3">
      <c r="A221" s="2" t="s">
        <v>38</v>
      </c>
      <c r="B221" t="s">
        <v>301</v>
      </c>
      <c r="C221">
        <f>VLOOKUP(B221,[1]Sheet1!B:N,9,0)</f>
        <v>0.56000000000000005</v>
      </c>
      <c r="D221" t="str">
        <f>VLOOKUP(B221,[1]Sheet1!B:N,10,0)</f>
        <v>₪</v>
      </c>
      <c r="E221" s="3">
        <f>VLOOKUP(B221,[1]Sheet1!B:N,6,0)</f>
        <v>41298</v>
      </c>
      <c r="F221">
        <v>2</v>
      </c>
      <c r="G221" t="str">
        <f>VLOOKUP(B221,[1]Sheet1!B:N,8,0)</f>
        <v>לוונשטיין טכנולוגיות</v>
      </c>
      <c r="H221" t="str">
        <f>VLOOKUP(B221,[1]Sheet1!B:N,5,0)</f>
        <v>01.0107</v>
      </c>
    </row>
    <row r="222" spans="1:8" x14ac:dyDescent="0.3">
      <c r="A222" s="2" t="s">
        <v>302</v>
      </c>
      <c r="B222" t="s">
        <v>303</v>
      </c>
      <c r="C222">
        <f>VLOOKUP(B222,[1]Sheet1!B:N,9,0)</f>
        <v>0.57999999999999996</v>
      </c>
      <c r="D222" t="str">
        <f>VLOOKUP(B222,[1]Sheet1!B:N,10,0)</f>
        <v>₪</v>
      </c>
      <c r="E222" s="3">
        <f>VLOOKUP(B222,[1]Sheet1!B:N,6,0)</f>
        <v>43585</v>
      </c>
      <c r="F222">
        <v>2</v>
      </c>
      <c r="G222" t="str">
        <f>VLOOKUP(B222,[1]Sheet1!B:N,8,0)</f>
        <v>דר טכנולוגיות בע"מ</v>
      </c>
      <c r="H222" t="str">
        <f>VLOOKUP(B222,[1]Sheet1!B:N,5,0)</f>
        <v>01.0400</v>
      </c>
    </row>
    <row r="223" spans="1:8" x14ac:dyDescent="0.3">
      <c r="A223" s="2" t="s">
        <v>304</v>
      </c>
      <c r="B223" t="s">
        <v>305</v>
      </c>
      <c r="C223">
        <f>VLOOKUP(B223,[1]Sheet1!B:N,9,0)</f>
        <v>0.9</v>
      </c>
      <c r="D223" t="str">
        <f>VLOOKUP(B223,[1]Sheet1!B:N,10,0)</f>
        <v>₪</v>
      </c>
      <c r="E223" s="3">
        <f>VLOOKUP(B223,[1]Sheet1!B:N,6,0)</f>
        <v>44858</v>
      </c>
      <c r="F223">
        <v>2</v>
      </c>
      <c r="G223" t="str">
        <f>VLOOKUP(B223,[1]Sheet1!B:N,8,0)</f>
        <v>לוונשטיין טכנולוגיות בע"מ</v>
      </c>
      <c r="H223" t="str">
        <f>VLOOKUP(B223,[1]Sheet1!B:N,5,0)</f>
        <v>01.0073</v>
      </c>
    </row>
    <row r="224" spans="1:8" x14ac:dyDescent="0.3">
      <c r="A224" s="2" t="s">
        <v>306</v>
      </c>
      <c r="B224" t="s">
        <v>307</v>
      </c>
      <c r="C224">
        <f>VLOOKUP(B224,[1]Sheet1!B:N,9,0)</f>
        <v>2.1530999999999998</v>
      </c>
      <c r="D224" t="str">
        <f>VLOOKUP(B224,[1]Sheet1!B:N,10,0)</f>
        <v>₪</v>
      </c>
      <c r="E224" s="3">
        <f>VLOOKUP(B224,[1]Sheet1!B:N,6,0)</f>
        <v>43692</v>
      </c>
      <c r="F224">
        <v>2</v>
      </c>
      <c r="G224" t="str">
        <f>VLOOKUP(B224,[1]Sheet1!B:N,8,0)</f>
        <v>גין מהנדסים בע"מ</v>
      </c>
      <c r="H224" t="str">
        <f>VLOOKUP(B224,[1]Sheet1!B:N,5,0)</f>
        <v>01.0114</v>
      </c>
    </row>
    <row r="225" spans="1:8" x14ac:dyDescent="0.3">
      <c r="A225" s="2" t="s">
        <v>308</v>
      </c>
      <c r="B225" t="s">
        <v>309</v>
      </c>
      <c r="C225">
        <f>VLOOKUP(B225,[1]Sheet1!B:N,9,0)</f>
        <v>0</v>
      </c>
      <c r="D225" t="str">
        <f>VLOOKUP(B225,[1]Sheet1!B:N,10,0)</f>
        <v>₪</v>
      </c>
      <c r="E225" s="3">
        <f>VLOOKUP(B225,[1]Sheet1!B:N,6,0)</f>
        <v>43727</v>
      </c>
      <c r="F225">
        <v>2</v>
      </c>
      <c r="G225" t="str">
        <f>VLOOKUP(B225,[1]Sheet1!B:N,8,0)</f>
        <v>ברמיל בע"מ</v>
      </c>
      <c r="H225" t="str">
        <f>VLOOKUP(B225,[1]Sheet1!B:N,5,0)</f>
        <v>01.0496</v>
      </c>
    </row>
    <row r="226" spans="1:8" x14ac:dyDescent="0.3">
      <c r="A226" s="2" t="s">
        <v>310</v>
      </c>
      <c r="B226" t="s">
        <v>311</v>
      </c>
      <c r="C226">
        <f>VLOOKUP(B226,[1]Sheet1!B:N,9,0)</f>
        <v>1.17</v>
      </c>
      <c r="D226" t="str">
        <f>VLOOKUP(B226,[1]Sheet1!B:N,10,0)</f>
        <v>₪</v>
      </c>
      <c r="E226" s="3">
        <f>VLOOKUP(B226,[1]Sheet1!B:N,6,0)</f>
        <v>44236</v>
      </c>
      <c r="F226">
        <v>2</v>
      </c>
      <c r="G226" t="str">
        <f>VLOOKUP(B226,[1]Sheet1!B:N,8,0)</f>
        <v>גין מהנדסים בע"מ</v>
      </c>
      <c r="H226" t="str">
        <f>VLOOKUP(B226,[1]Sheet1!B:N,5,0)</f>
        <v>01.0524</v>
      </c>
    </row>
    <row r="227" spans="1:8" x14ac:dyDescent="0.3">
      <c r="A227" s="2" t="s">
        <v>26</v>
      </c>
      <c r="B227" t="s">
        <v>53</v>
      </c>
      <c r="C227">
        <f>VLOOKUP(B227,[1]Sheet1!B:N,9,0)</f>
        <v>0.53</v>
      </c>
      <c r="D227" t="str">
        <f>VLOOKUP(B227,[1]Sheet1!B:N,10,0)</f>
        <v>₪</v>
      </c>
      <c r="E227" s="3">
        <f>VLOOKUP(B227,[1]Sheet1!B:N,6,0)</f>
        <v>45089</v>
      </c>
      <c r="F227">
        <v>2</v>
      </c>
      <c r="G227" t="str">
        <f>VLOOKUP(B227,[1]Sheet1!B:N,8,0)</f>
        <v>לוונשטיין טכנולוגיות בע"מ</v>
      </c>
      <c r="H227" t="str">
        <f>VLOOKUP(B227,[1]Sheet1!B:N,5,0)</f>
        <v>01.0008</v>
      </c>
    </row>
    <row r="228" spans="1:8" x14ac:dyDescent="0.3">
      <c r="A228" s="2" t="s">
        <v>312</v>
      </c>
      <c r="B228" t="s">
        <v>313</v>
      </c>
      <c r="C228">
        <f>VLOOKUP(B228,[1]Sheet1!B:N,9,0)</f>
        <v>1.5</v>
      </c>
      <c r="D228" t="str">
        <f>VLOOKUP(B228,[1]Sheet1!B:N,10,0)</f>
        <v>₪</v>
      </c>
      <c r="E228" s="3">
        <f>VLOOKUP(B228,[1]Sheet1!B:N,6,0)</f>
        <v>46049</v>
      </c>
      <c r="F228">
        <v>2</v>
      </c>
      <c r="G228" t="str">
        <f>VLOOKUP(B228,[1]Sheet1!B:N,8,0)</f>
        <v>גין מהנדסים בע"מ</v>
      </c>
      <c r="H228" t="str">
        <f>VLOOKUP(B228,[1]Sheet1!B:N,5,0)</f>
        <v>01.0230</v>
      </c>
    </row>
    <row r="229" spans="1:8" x14ac:dyDescent="0.3">
      <c r="A229" s="2" t="s">
        <v>105</v>
      </c>
      <c r="B229" t="s">
        <v>314</v>
      </c>
      <c r="C229">
        <f>VLOOKUP(B229,[1]Sheet1!B:N,9,0)</f>
        <v>0.56000000000000005</v>
      </c>
      <c r="D229" t="str">
        <f>VLOOKUP(B229,[1]Sheet1!B:N,10,0)</f>
        <v>₪</v>
      </c>
      <c r="E229" s="3">
        <f>VLOOKUP(B229,[1]Sheet1!B:N,6,0)</f>
        <v>41310</v>
      </c>
      <c r="F229">
        <v>2</v>
      </c>
      <c r="G229" t="str">
        <f>VLOOKUP(B229,[1]Sheet1!B:N,8,0)</f>
        <v>לוונשטיין טכנולוגיות</v>
      </c>
      <c r="H229" t="str">
        <f>VLOOKUP(B229,[1]Sheet1!B:N,5,0)</f>
        <v>01.0183</v>
      </c>
    </row>
    <row r="230" spans="1:8" x14ac:dyDescent="0.3">
      <c r="A230" s="2" t="s">
        <v>315</v>
      </c>
      <c r="B230" t="s">
        <v>316</v>
      </c>
      <c r="C230">
        <f>VLOOKUP(B230,[1]Sheet1!B:N,9,0)</f>
        <v>0</v>
      </c>
      <c r="D230" t="str">
        <f>VLOOKUP(B230,[1]Sheet1!B:N,10,0)</f>
        <v>$</v>
      </c>
      <c r="E230" s="3">
        <f>VLOOKUP(B230,[1]Sheet1!B:N,6,0)</f>
        <v>41305</v>
      </c>
      <c r="F230">
        <v>2</v>
      </c>
      <c r="G230" t="str">
        <f>VLOOKUP(B230,[1]Sheet1!B:N,8,0)</f>
        <v>טמבור הפצות בע"מ</v>
      </c>
      <c r="H230" t="str">
        <f>VLOOKUP(B230,[1]Sheet1!B:N,5,0)</f>
        <v>01.0059</v>
      </c>
    </row>
    <row r="231" spans="1:8" x14ac:dyDescent="0.3">
      <c r="A231" s="2" t="s">
        <v>317</v>
      </c>
      <c r="B231" t="s">
        <v>318</v>
      </c>
      <c r="C231">
        <f>VLOOKUP(B231,[1]Sheet1!B:N,9,0)</f>
        <v>3.9</v>
      </c>
      <c r="D231" t="str">
        <f>VLOOKUP(B231,[1]Sheet1!B:N,10,0)</f>
        <v>₪</v>
      </c>
      <c r="E231" s="3">
        <f>VLOOKUP(B231,[1]Sheet1!B:N,6,0)</f>
        <v>43121</v>
      </c>
      <c r="F231">
        <v>2</v>
      </c>
      <c r="G231" t="str">
        <f>VLOOKUP(B231,[1]Sheet1!B:N,8,0)</f>
        <v>גין מהנדסים בע"מ</v>
      </c>
      <c r="H231" t="str">
        <f>VLOOKUP(B231,[1]Sheet1!B:N,5,0)</f>
        <v>01.0181</v>
      </c>
    </row>
    <row r="232" spans="1:8" x14ac:dyDescent="0.3">
      <c r="A232" s="2" t="s">
        <v>319</v>
      </c>
      <c r="B232" t="s">
        <v>320</v>
      </c>
      <c r="C232">
        <f>VLOOKUP(B232,[1]Sheet1!B:N,9,0)</f>
        <v>0.54990000000000006</v>
      </c>
      <c r="D232" t="str">
        <f>VLOOKUP(B232,[1]Sheet1!B:N,10,0)</f>
        <v>₪</v>
      </c>
      <c r="E232" s="3">
        <f>VLOOKUP(B232,[1]Sheet1!B:N,6,0)</f>
        <v>44482</v>
      </c>
      <c r="F232">
        <v>2</v>
      </c>
      <c r="G232" t="str">
        <f>VLOOKUP(B232,[1]Sheet1!B:N,8,0)</f>
        <v>דר טכנולוגיות בע"מ</v>
      </c>
      <c r="H232" t="str">
        <f>VLOOKUP(B232,[1]Sheet1!B:N,5,0)</f>
        <v>01.0266</v>
      </c>
    </row>
    <row r="233" spans="1:8" x14ac:dyDescent="0.3">
      <c r="A233" s="2" t="s">
        <v>321</v>
      </c>
      <c r="B233" t="s">
        <v>322</v>
      </c>
      <c r="C233">
        <f>VLOOKUP(B233,[1]Sheet1!B:N,9,0)</f>
        <v>380</v>
      </c>
      <c r="D233" t="str">
        <f>VLOOKUP(B233,[1]Sheet1!B:N,10,0)</f>
        <v>₪</v>
      </c>
      <c r="E233" s="3">
        <f>VLOOKUP(B233,[1]Sheet1!B:N,6,0)</f>
        <v>45833</v>
      </c>
      <c r="F233">
        <v>2</v>
      </c>
      <c r="G233" t="str">
        <f>VLOOKUP(B233,[1]Sheet1!B:N,8,0)</f>
        <v>גין מהנדסים בע"מ</v>
      </c>
      <c r="H233" t="str">
        <f>VLOOKUP(B233,[1]Sheet1!B:N,5,0)</f>
        <v>01.0639</v>
      </c>
    </row>
    <row r="234" spans="1:8" x14ac:dyDescent="0.3">
      <c r="A234" s="2" t="s">
        <v>323</v>
      </c>
      <c r="B234" t="s">
        <v>324</v>
      </c>
      <c r="C234">
        <f>VLOOKUP(B234,[1]Sheet1!B:N,9,0)</f>
        <v>18.5</v>
      </c>
      <c r="D234" t="str">
        <f>VLOOKUP(B234,[1]Sheet1!B:N,10,0)</f>
        <v>₪</v>
      </c>
      <c r="E234" s="3">
        <f>VLOOKUP(B234,[1]Sheet1!B:N,6,0)</f>
        <v>45439</v>
      </c>
      <c r="F234">
        <v>2</v>
      </c>
      <c r="G234" t="str">
        <f>VLOOKUP(B234,[1]Sheet1!B:N,8,0)</f>
        <v>גין מהנדסים בע"מ</v>
      </c>
      <c r="H234" t="str">
        <f>VLOOKUP(B234,[1]Sheet1!B:N,5,0)</f>
        <v>01.0656</v>
      </c>
    </row>
    <row r="235" spans="1:8" x14ac:dyDescent="0.3">
      <c r="A235" s="2" t="s">
        <v>325</v>
      </c>
      <c r="B235" t="s">
        <v>326</v>
      </c>
      <c r="C235">
        <f>VLOOKUP(B235,[1]Sheet1!B:N,9,0)</f>
        <v>4.4000000000000004</v>
      </c>
      <c r="D235" t="str">
        <f>VLOOKUP(B235,[1]Sheet1!B:N,10,0)</f>
        <v>₪</v>
      </c>
      <c r="E235" s="3">
        <f>VLOOKUP(B235,[1]Sheet1!B:N,6,0)</f>
        <v>41473</v>
      </c>
      <c r="F235">
        <v>2</v>
      </c>
      <c r="G235" t="str">
        <f>VLOOKUP(B235,[1]Sheet1!B:N,8,0)</f>
        <v>לוונשטיין טכנולוגיות</v>
      </c>
      <c r="H235" t="str">
        <f>VLOOKUP(B235,[1]Sheet1!B:N,5,0)</f>
        <v>01.0072</v>
      </c>
    </row>
    <row r="236" spans="1:8" x14ac:dyDescent="0.3">
      <c r="A236" s="2" t="s">
        <v>150</v>
      </c>
      <c r="B236" t="s">
        <v>327</v>
      </c>
      <c r="C236">
        <f>VLOOKUP(B236,[1]Sheet1!B:N,9,0)</f>
        <v>0.45</v>
      </c>
      <c r="D236" t="str">
        <f>VLOOKUP(B236,[1]Sheet1!B:N,10,0)</f>
        <v>₪</v>
      </c>
      <c r="E236" s="3">
        <f>VLOOKUP(B236,[1]Sheet1!B:N,6,0)</f>
        <v>43915</v>
      </c>
      <c r="F236">
        <v>2</v>
      </c>
      <c r="G236" t="str">
        <f>VLOOKUP(B236,[1]Sheet1!B:N,8,0)</f>
        <v>ברמיל בע"מ</v>
      </c>
      <c r="H236" t="str">
        <f>VLOOKUP(B236,[1]Sheet1!B:N,5,0)</f>
        <v>01.0062</v>
      </c>
    </row>
    <row r="237" spans="1:8" x14ac:dyDescent="0.3">
      <c r="A237" s="2" t="s">
        <v>328</v>
      </c>
      <c r="B237" t="s">
        <v>329</v>
      </c>
      <c r="C237">
        <f>VLOOKUP(B237,[1]Sheet1!B:N,9,0)</f>
        <v>375</v>
      </c>
      <c r="D237" t="str">
        <f>VLOOKUP(B237,[1]Sheet1!B:N,10,0)</f>
        <v>₪</v>
      </c>
      <c r="E237" s="3">
        <f>VLOOKUP(B237,[1]Sheet1!B:N,6,0)</f>
        <v>45550</v>
      </c>
      <c r="F237">
        <v>2</v>
      </c>
      <c r="G237" t="str">
        <f>VLOOKUP(B237,[1]Sheet1!B:N,8,0)</f>
        <v>לוונשטיין טכנולוגיות בע"מ</v>
      </c>
      <c r="H237" t="str">
        <f>VLOOKUP(B237,[1]Sheet1!B:N,5,0)</f>
        <v>01.0621</v>
      </c>
    </row>
    <row r="238" spans="1:8" x14ac:dyDescent="0.3">
      <c r="A238" s="2" t="s">
        <v>330</v>
      </c>
      <c r="B238" t="s">
        <v>331</v>
      </c>
      <c r="C238">
        <f>VLOOKUP(B238,[1]Sheet1!B:N,9,0)</f>
        <v>380</v>
      </c>
      <c r="D238" t="str">
        <f>VLOOKUP(B238,[1]Sheet1!B:N,10,0)</f>
        <v>₪</v>
      </c>
      <c r="E238" s="3">
        <f>VLOOKUP(B238,[1]Sheet1!B:N,6,0)</f>
        <v>45413</v>
      </c>
      <c r="F238">
        <v>2</v>
      </c>
      <c r="G238" t="str">
        <f>VLOOKUP(B238,[1]Sheet1!B:N,8,0)</f>
        <v>לוונשטיין טכנולוגיות בע"מ</v>
      </c>
      <c r="H238" t="str">
        <f>VLOOKUP(B238,[1]Sheet1!B:N,5,0)</f>
        <v>01.0625</v>
      </c>
    </row>
    <row r="239" spans="1:8" x14ac:dyDescent="0.3">
      <c r="A239" s="2" t="s">
        <v>43</v>
      </c>
      <c r="B239" t="s">
        <v>21</v>
      </c>
      <c r="C239">
        <f>VLOOKUP(B239,[1]Sheet1!B:N,9,0)</f>
        <v>6.3</v>
      </c>
      <c r="D239" t="str">
        <f>VLOOKUP(B239,[1]Sheet1!B:N,10,0)</f>
        <v>₪</v>
      </c>
      <c r="E239" s="3">
        <f>VLOOKUP(B239,[1]Sheet1!B:N,6,0)</f>
        <v>45917</v>
      </c>
      <c r="F239">
        <v>2</v>
      </c>
      <c r="G239" t="str">
        <f>VLOOKUP(B239,[1]Sheet1!B:N,8,0)</f>
        <v>דר טכנולוגיות בע"מ</v>
      </c>
      <c r="H239" t="str">
        <f>VLOOKUP(B239,[1]Sheet1!B:N,5,0)</f>
        <v>01.0004</v>
      </c>
    </row>
    <row r="240" spans="1:8" x14ac:dyDescent="0.3">
      <c r="A240" s="2" t="s">
        <v>70</v>
      </c>
      <c r="B240" t="s">
        <v>77</v>
      </c>
      <c r="C240">
        <f>VLOOKUP(B240,[1]Sheet1!B:N,9,0)</f>
        <v>6</v>
      </c>
      <c r="D240" t="str">
        <f>VLOOKUP(B240,[1]Sheet1!B:N,10,0)</f>
        <v>₪</v>
      </c>
      <c r="E240" s="3">
        <f>VLOOKUP(B240,[1]Sheet1!B:N,6,0)</f>
        <v>45650</v>
      </c>
      <c r="F240">
        <v>2</v>
      </c>
      <c r="G240" t="str">
        <f>VLOOKUP(B240,[1]Sheet1!B:N,8,0)</f>
        <v>דר טכנולוגיות בע"מ</v>
      </c>
      <c r="H240" t="str">
        <f>VLOOKUP(B240,[1]Sheet1!B:N,5,0)</f>
        <v>01.0014</v>
      </c>
    </row>
    <row r="241" spans="1:8" x14ac:dyDescent="0.3">
      <c r="A241" s="2" t="s">
        <v>332</v>
      </c>
      <c r="B241" t="s">
        <v>333</v>
      </c>
      <c r="C241">
        <f>VLOOKUP(B241,[1]Sheet1!B:N,9,0)</f>
        <v>735</v>
      </c>
      <c r="D241" t="str">
        <f>VLOOKUP(B241,[1]Sheet1!B:N,10,0)</f>
        <v>₪</v>
      </c>
      <c r="E241" s="3">
        <f>VLOOKUP(B241,[1]Sheet1!B:N,6,0)</f>
        <v>45697</v>
      </c>
      <c r="F241">
        <v>2</v>
      </c>
      <c r="G241" t="str">
        <f>VLOOKUP(B241,[1]Sheet1!B:N,8,0)</f>
        <v>לוונשטיין טכנולוגיות בע"מ</v>
      </c>
      <c r="H241" t="str">
        <f>VLOOKUP(B241,[1]Sheet1!B:N,5,0)</f>
        <v>01.0626</v>
      </c>
    </row>
    <row r="242" spans="1:8" x14ac:dyDescent="0.3">
      <c r="A242" s="2" t="s">
        <v>334</v>
      </c>
      <c r="B242" t="s">
        <v>335</v>
      </c>
      <c r="C242">
        <f>VLOOKUP(B242,[1]Sheet1!B:N,9,0)</f>
        <v>436.1</v>
      </c>
      <c r="D242" t="str">
        <f>VLOOKUP(B242,[1]Sheet1!B:N,10,0)</f>
        <v>₪</v>
      </c>
      <c r="E242" s="3">
        <f>VLOOKUP(B242,[1]Sheet1!B:N,6,0)</f>
        <v>45697</v>
      </c>
      <c r="F242">
        <v>2</v>
      </c>
      <c r="G242" t="str">
        <f>VLOOKUP(B242,[1]Sheet1!B:N,8,0)</f>
        <v>לוונשטיין טכנולוגיות בע"מ</v>
      </c>
      <c r="H242" t="str">
        <f>VLOOKUP(B242,[1]Sheet1!B:N,5,0)</f>
        <v>01.0628</v>
      </c>
    </row>
    <row r="243" spans="1:8" x14ac:dyDescent="0.3">
      <c r="A243" s="2" t="s">
        <v>232</v>
      </c>
      <c r="B243" t="s">
        <v>336</v>
      </c>
      <c r="C243">
        <f>VLOOKUP(B243,[1]Sheet1!B:N,9,0)</f>
        <v>1.58</v>
      </c>
      <c r="D243" t="str">
        <f>VLOOKUP(B243,[1]Sheet1!B:N,10,0)</f>
        <v>$</v>
      </c>
      <c r="E243" s="3">
        <f>VLOOKUP(B243,[1]Sheet1!B:N,6,0)</f>
        <v>41137</v>
      </c>
      <c r="F243">
        <v>2</v>
      </c>
      <c r="G243" t="str">
        <f>VLOOKUP(B243,[1]Sheet1!B:N,8,0)</f>
        <v>קייטק ישראל בע"מ</v>
      </c>
      <c r="H243" t="str">
        <f>VLOOKUP(B243,[1]Sheet1!B:N,5,0)</f>
        <v>01.0206</v>
      </c>
    </row>
    <row r="244" spans="1:8" x14ac:dyDescent="0.3">
      <c r="A244" s="2" t="s">
        <v>187</v>
      </c>
      <c r="B244" t="s">
        <v>44</v>
      </c>
      <c r="C244">
        <f>VLOOKUP(B244,[1]Sheet1!B:N,9,0)</f>
        <v>5.4</v>
      </c>
      <c r="D244" t="str">
        <f>VLOOKUP(B244,[1]Sheet1!B:N,10,0)</f>
        <v>₪</v>
      </c>
      <c r="E244" s="3">
        <f>VLOOKUP(B244,[1]Sheet1!B:N,6,0)</f>
        <v>46064</v>
      </c>
      <c r="F244">
        <v>2</v>
      </c>
      <c r="G244" t="str">
        <f>VLOOKUP(B244,[1]Sheet1!B:N,8,0)</f>
        <v>ברמיל בע"מ</v>
      </c>
      <c r="H244" t="str">
        <f>VLOOKUP(B244,[1]Sheet1!B:N,5,0)</f>
        <v>01.0004</v>
      </c>
    </row>
    <row r="245" spans="1:8" x14ac:dyDescent="0.3">
      <c r="A245" s="2"/>
      <c r="B245" t="s">
        <v>337</v>
      </c>
      <c r="C245">
        <f>VLOOKUP(B245,[1]Sheet1!B:N,9,0)</f>
        <v>0.86599999999999999</v>
      </c>
      <c r="D245" t="str">
        <f>VLOOKUP(B245,[1]Sheet1!B:N,10,0)</f>
        <v>₪</v>
      </c>
      <c r="E245" s="3">
        <f>VLOOKUP(B245,[1]Sheet1!B:N,6,0)</f>
        <v>45487</v>
      </c>
      <c r="F245">
        <v>1</v>
      </c>
      <c r="G245" t="str">
        <f>VLOOKUP(B245,[1]Sheet1!B:N,8,0)</f>
        <v>לוונשטיין טכנולוגיות בע"מ</v>
      </c>
      <c r="H245" t="str">
        <f>VLOOKUP(B245,[1]Sheet1!B:N,5,0)</f>
        <v>01.0665</v>
      </c>
    </row>
    <row r="246" spans="1:8" x14ac:dyDescent="0.3">
      <c r="A246" s="2"/>
      <c r="B246" t="s">
        <v>338</v>
      </c>
      <c r="C246">
        <f>VLOOKUP(B246,[1]Sheet1!B:N,9,0)</f>
        <v>0.8</v>
      </c>
      <c r="D246" t="str">
        <f>VLOOKUP(B246,[1]Sheet1!B:N,10,0)</f>
        <v>₪</v>
      </c>
      <c r="E246" s="3">
        <f>VLOOKUP(B246,[1]Sheet1!B:N,6,0)</f>
        <v>43983</v>
      </c>
      <c r="F246">
        <v>1</v>
      </c>
      <c r="G246" t="str">
        <f>VLOOKUP(B246,[1]Sheet1!B:N,8,0)</f>
        <v>לוונשטיין טכנולוגיות</v>
      </c>
      <c r="H246" t="str">
        <f>VLOOKUP(B246,[1]Sheet1!B:N,5,0)</f>
        <v>01.0061</v>
      </c>
    </row>
    <row r="247" spans="1:8" x14ac:dyDescent="0.3">
      <c r="A247" s="2"/>
      <c r="B247" t="s">
        <v>339</v>
      </c>
      <c r="C247">
        <f>VLOOKUP(B247,[1]Sheet1!B:N,9,0)</f>
        <v>0.5</v>
      </c>
      <c r="D247" t="str">
        <f>VLOOKUP(B247,[1]Sheet1!B:N,10,0)</f>
        <v>₪</v>
      </c>
      <c r="E247" s="3">
        <f>VLOOKUP(B247,[1]Sheet1!B:N,6,0)</f>
        <v>44299</v>
      </c>
      <c r="F247">
        <v>1</v>
      </c>
      <c r="G247" t="str">
        <f>VLOOKUP(B247,[1]Sheet1!B:N,8,0)</f>
        <v>דר טכנולוגיות בע"מ</v>
      </c>
      <c r="H247" t="str">
        <f>VLOOKUP(B247,[1]Sheet1!B:N,5,0)</f>
        <v>01.0069</v>
      </c>
    </row>
    <row r="248" spans="1:8" x14ac:dyDescent="0.3">
      <c r="A248" s="2"/>
      <c r="B248" t="s">
        <v>340</v>
      </c>
      <c r="C248">
        <f>VLOOKUP(B248,[1]Sheet1!B:N,9,0)</f>
        <v>0.9</v>
      </c>
      <c r="D248" t="str">
        <f>VLOOKUP(B248,[1]Sheet1!B:N,10,0)</f>
        <v>₪</v>
      </c>
      <c r="E248" s="3">
        <f>VLOOKUP(B248,[1]Sheet1!B:N,6,0)</f>
        <v>45315</v>
      </c>
      <c r="F248">
        <v>1</v>
      </c>
      <c r="G248" t="str">
        <f>VLOOKUP(B248,[1]Sheet1!B:N,8,0)</f>
        <v>לוונשטיין טכנולוגיות בע"מ</v>
      </c>
      <c r="H248" t="str">
        <f>VLOOKUP(B248,[1]Sheet1!B:N,5,0)</f>
        <v>01.0073</v>
      </c>
    </row>
    <row r="249" spans="1:8" x14ac:dyDescent="0.3">
      <c r="A249" s="2"/>
      <c r="B249" t="s">
        <v>305</v>
      </c>
      <c r="C249">
        <f>VLOOKUP(B249,[1]Sheet1!B:N,9,0)</f>
        <v>0.9</v>
      </c>
      <c r="D249" t="str">
        <f>VLOOKUP(B249,[1]Sheet1!B:N,10,0)</f>
        <v>₪</v>
      </c>
      <c r="E249" s="3">
        <f>VLOOKUP(B249,[1]Sheet1!B:N,6,0)</f>
        <v>44858</v>
      </c>
      <c r="F249">
        <v>1</v>
      </c>
      <c r="G249" t="str">
        <f>VLOOKUP(B249,[1]Sheet1!B:N,8,0)</f>
        <v>לוונשטיין טכנולוגיות בע"מ</v>
      </c>
      <c r="H249" t="str">
        <f>VLOOKUP(B249,[1]Sheet1!B:N,5,0)</f>
        <v>01.0073</v>
      </c>
    </row>
    <row r="250" spans="1:8" x14ac:dyDescent="0.3">
      <c r="A250" s="2"/>
      <c r="B250" t="s">
        <v>341</v>
      </c>
      <c r="C250">
        <f>VLOOKUP(B250,[1]Sheet1!B:N,9,0)</f>
        <v>0.75</v>
      </c>
      <c r="D250" t="str">
        <f>VLOOKUP(B250,[1]Sheet1!B:N,10,0)</f>
        <v>₪</v>
      </c>
      <c r="E250" s="3">
        <f>VLOOKUP(B250,[1]Sheet1!B:N,6,0)</f>
        <v>41479</v>
      </c>
      <c r="F250">
        <v>1</v>
      </c>
      <c r="G250" t="str">
        <f>VLOOKUP(B250,[1]Sheet1!B:N,8,0)</f>
        <v>קודה 2000</v>
      </c>
      <c r="H250" t="str">
        <f>VLOOKUP(B250,[1]Sheet1!B:N,5,0)</f>
        <v>01.0122</v>
      </c>
    </row>
    <row r="251" spans="1:8" x14ac:dyDescent="0.3">
      <c r="A251" s="2"/>
      <c r="B251" t="s">
        <v>342</v>
      </c>
      <c r="C251">
        <f>VLOOKUP(B251,[1]Sheet1!B:N,9,0)</f>
        <v>0.7</v>
      </c>
      <c r="D251" t="str">
        <f>VLOOKUP(B251,[1]Sheet1!B:N,10,0)</f>
        <v>₪</v>
      </c>
      <c r="E251" s="3">
        <f>VLOOKUP(B251,[1]Sheet1!B:N,6,0)</f>
        <v>41479</v>
      </c>
      <c r="F251">
        <v>1</v>
      </c>
      <c r="G251" t="str">
        <f>VLOOKUP(B251,[1]Sheet1!B:N,8,0)</f>
        <v>קודה 2000</v>
      </c>
      <c r="H251" t="str">
        <f>VLOOKUP(B251,[1]Sheet1!B:N,5,0)</f>
        <v>01.0124</v>
      </c>
    </row>
    <row r="252" spans="1:8" x14ac:dyDescent="0.3">
      <c r="A252" s="2"/>
      <c r="B252" t="s">
        <v>343</v>
      </c>
      <c r="C252">
        <f>VLOOKUP(B252,[1]Sheet1!B:N,9,0)</f>
        <v>1.1000000000000001</v>
      </c>
      <c r="D252" t="str">
        <f>VLOOKUP(B252,[1]Sheet1!B:N,10,0)</f>
        <v>₪</v>
      </c>
      <c r="E252" s="3">
        <f>VLOOKUP(B252,[1]Sheet1!B:N,6,0)</f>
        <v>41479</v>
      </c>
      <c r="F252">
        <v>1</v>
      </c>
      <c r="G252" t="str">
        <f>VLOOKUP(B252,[1]Sheet1!B:N,8,0)</f>
        <v>קודה 2000</v>
      </c>
      <c r="H252" t="str">
        <f>VLOOKUP(B252,[1]Sheet1!B:N,5,0)</f>
        <v>01.0126</v>
      </c>
    </row>
    <row r="253" spans="1:8" x14ac:dyDescent="0.3">
      <c r="A253" s="2"/>
      <c r="B253" t="s">
        <v>344</v>
      </c>
      <c r="C253">
        <f>VLOOKUP(B253,[1]Sheet1!B:N,9,0)</f>
        <v>31.42</v>
      </c>
      <c r="D253" t="str">
        <f>VLOOKUP(B253,[1]Sheet1!B:N,10,0)</f>
        <v>₪</v>
      </c>
      <c r="E253" s="3">
        <f>VLOOKUP(B253,[1]Sheet1!B:N,6,0)</f>
        <v>45057</v>
      </c>
      <c r="F253">
        <v>1</v>
      </c>
      <c r="G253" t="str">
        <f>VLOOKUP(B253,[1]Sheet1!B:N,8,0)</f>
        <v>טרייד פאק בע"מ</v>
      </c>
      <c r="H253" t="str">
        <f>VLOOKUP(B253,[1]Sheet1!B:N,5,0)</f>
        <v>01.0005</v>
      </c>
    </row>
    <row r="254" spans="1:8" x14ac:dyDescent="0.3">
      <c r="A254" s="2"/>
      <c r="B254" t="s">
        <v>345</v>
      </c>
      <c r="C254">
        <f>VLOOKUP(B254,[1]Sheet1!B:N,9,0)</f>
        <v>0</v>
      </c>
      <c r="D254" t="str">
        <f>VLOOKUP(B254,[1]Sheet1!B:N,10,0)</f>
        <v>₪</v>
      </c>
      <c r="E254" s="3">
        <f>VLOOKUP(B254,[1]Sheet1!B:N,6,0)</f>
        <v>43513</v>
      </c>
      <c r="F254">
        <v>1</v>
      </c>
      <c r="G254" t="str">
        <f>VLOOKUP(B254,[1]Sheet1!B:N,8,0)</f>
        <v>דר טכנולוגיות בע"מ</v>
      </c>
      <c r="H254" t="str">
        <f>VLOOKUP(B254,[1]Sheet1!B:N,5,0)</f>
        <v>01.0470</v>
      </c>
    </row>
    <row r="255" spans="1:8" x14ac:dyDescent="0.3">
      <c r="A255" s="2"/>
      <c r="B255" t="s">
        <v>346</v>
      </c>
      <c r="C255">
        <f>VLOOKUP(B255,[1]Sheet1!B:N,9,0)</f>
        <v>0.50019999999999998</v>
      </c>
      <c r="D255" t="str">
        <f>VLOOKUP(B255,[1]Sheet1!B:N,10,0)</f>
        <v>₪</v>
      </c>
      <c r="E255" s="3">
        <f>VLOOKUP(B255,[1]Sheet1!B:N,6,0)</f>
        <v>42716</v>
      </c>
      <c r="F255">
        <v>1</v>
      </c>
      <c r="G255" t="str">
        <f>VLOOKUP(B255,[1]Sheet1!B:N,8,0)</f>
        <v>דר טכנולוגיות בע"מ</v>
      </c>
      <c r="H255" t="str">
        <f>VLOOKUP(B255,[1]Sheet1!B:N,5,0)</f>
        <v>01.0133</v>
      </c>
    </row>
    <row r="256" spans="1:8" x14ac:dyDescent="0.3">
      <c r="A256" s="2"/>
      <c r="B256" t="s">
        <v>347</v>
      </c>
      <c r="C256">
        <f>VLOOKUP(B256,[1]Sheet1!B:N,9,0)</f>
        <v>0.6</v>
      </c>
      <c r="D256" t="str">
        <f>VLOOKUP(B256,[1]Sheet1!B:N,10,0)</f>
        <v>₪</v>
      </c>
      <c r="E256" s="3">
        <f>VLOOKUP(B256,[1]Sheet1!B:N,6,0)</f>
        <v>45449</v>
      </c>
      <c r="F256">
        <v>1</v>
      </c>
      <c r="G256" t="str">
        <f>VLOOKUP(B256,[1]Sheet1!B:N,8,0)</f>
        <v>גין מהנדסים בע"מ</v>
      </c>
      <c r="H256" t="str">
        <f>VLOOKUP(B256,[1]Sheet1!B:N,5,0)</f>
        <v>01.0659</v>
      </c>
    </row>
    <row r="257" spans="1:8" x14ac:dyDescent="0.3">
      <c r="A257" s="2"/>
      <c r="B257" t="s">
        <v>348</v>
      </c>
      <c r="C257">
        <f>VLOOKUP(B257,[1]Sheet1!B:N,9,0)</f>
        <v>0</v>
      </c>
      <c r="D257" t="str">
        <f>VLOOKUP(B257,[1]Sheet1!B:N,10,0)</f>
        <v>₪</v>
      </c>
      <c r="E257" s="3">
        <f>VLOOKUP(B257,[1]Sheet1!B:N,6,0)</f>
        <v>43163</v>
      </c>
      <c r="F257">
        <v>1</v>
      </c>
      <c r="G257" t="str">
        <f>VLOOKUP(B257,[1]Sheet1!B:N,8,0)</f>
        <v>גין מהנדסים בע"מ</v>
      </c>
      <c r="H257" t="str">
        <f>VLOOKUP(B257,[1]Sheet1!B:N,5,0)</f>
        <v>01.0429</v>
      </c>
    </row>
    <row r="258" spans="1:8" x14ac:dyDescent="0.3">
      <c r="A258" s="2"/>
      <c r="B258" t="s">
        <v>349</v>
      </c>
      <c r="C258">
        <f>VLOOKUP(B258,[1]Sheet1!B:N,9,0)</f>
        <v>295</v>
      </c>
      <c r="D258" t="str">
        <f>VLOOKUP(B258,[1]Sheet1!B:N,10,0)</f>
        <v>$</v>
      </c>
      <c r="E258" s="3">
        <f>VLOOKUP(B258,[1]Sheet1!B:N,6,0)</f>
        <v>43528</v>
      </c>
      <c r="F258">
        <v>1</v>
      </c>
      <c r="G258" t="str">
        <f>VLOOKUP(B258,[1]Sheet1!B:N,8,0)</f>
        <v>לשם טכנולוגיות תעשיי</v>
      </c>
      <c r="H258" t="str">
        <f>VLOOKUP(B258,[1]Sheet1!B:N,5,0)</f>
        <v>01.0434</v>
      </c>
    </row>
    <row r="259" spans="1:8" x14ac:dyDescent="0.3">
      <c r="A259" s="2"/>
      <c r="B259" t="s">
        <v>350</v>
      </c>
      <c r="C259">
        <f>VLOOKUP(B259,[1]Sheet1!B:N,9,0)</f>
        <v>7</v>
      </c>
      <c r="D259" t="str">
        <f>VLOOKUP(B259,[1]Sheet1!B:N,10,0)</f>
        <v>₪</v>
      </c>
      <c r="E259" s="3">
        <f>VLOOKUP(B259,[1]Sheet1!B:N,6,0)</f>
        <v>45412</v>
      </c>
      <c r="F259">
        <v>1</v>
      </c>
      <c r="G259" t="str">
        <f>VLOOKUP(B259,[1]Sheet1!B:N,8,0)</f>
        <v>גין מהנדסים בע"מ</v>
      </c>
      <c r="H259" t="str">
        <f>VLOOKUP(B259,[1]Sheet1!B:N,5,0)</f>
        <v>01.0253</v>
      </c>
    </row>
    <row r="260" spans="1:8" x14ac:dyDescent="0.3">
      <c r="A260" s="2"/>
      <c r="B260" t="s">
        <v>351</v>
      </c>
      <c r="C260">
        <f>VLOOKUP(B260,[1]Sheet1!B:N,9,0)</f>
        <v>28</v>
      </c>
      <c r="D260" t="str">
        <f>VLOOKUP(B260,[1]Sheet1!B:N,10,0)</f>
        <v>₪</v>
      </c>
      <c r="E260" s="3">
        <f>VLOOKUP(B260,[1]Sheet1!B:N,6,0)</f>
        <v>45412</v>
      </c>
      <c r="F260">
        <v>1</v>
      </c>
      <c r="G260" t="str">
        <f>VLOOKUP(B260,[1]Sheet1!B:N,8,0)</f>
        <v>גין מהנדסים בע"מ</v>
      </c>
      <c r="H260" t="str">
        <f>VLOOKUP(B260,[1]Sheet1!B:N,5,0)</f>
        <v>01.0653</v>
      </c>
    </row>
    <row r="261" spans="1:8" x14ac:dyDescent="0.3">
      <c r="A261" s="2"/>
      <c r="B261" t="s">
        <v>352</v>
      </c>
      <c r="C261">
        <f>VLOOKUP(B261,[1]Sheet1!B:N,9,0)</f>
        <v>10</v>
      </c>
      <c r="D261" t="str">
        <f>VLOOKUP(B261,[1]Sheet1!B:N,10,0)</f>
        <v>₪</v>
      </c>
      <c r="E261" s="3">
        <f>VLOOKUP(B261,[1]Sheet1!B:N,6,0)</f>
        <v>44237</v>
      </c>
      <c r="F261">
        <v>1</v>
      </c>
      <c r="G261" t="str">
        <f>VLOOKUP(B261,[1]Sheet1!B:N,8,0)</f>
        <v>גין מהנדסים בע"מ</v>
      </c>
      <c r="H261" t="str">
        <f>VLOOKUP(B261,[1]Sheet1!B:N,5,0)</f>
        <v>01.0526</v>
      </c>
    </row>
    <row r="262" spans="1:8" x14ac:dyDescent="0.3">
      <c r="A262" s="2"/>
      <c r="B262" t="s">
        <v>353</v>
      </c>
      <c r="C262">
        <f>VLOOKUP(B262,[1]Sheet1!B:N,9,0)</f>
        <v>0.9</v>
      </c>
      <c r="D262" t="str">
        <f>VLOOKUP(B262,[1]Sheet1!B:N,10,0)</f>
        <v>₪</v>
      </c>
      <c r="E262" s="3">
        <f>VLOOKUP(B262,[1]Sheet1!B:N,6,0)</f>
        <v>45088</v>
      </c>
      <c r="F262">
        <v>1</v>
      </c>
      <c r="G262" t="str">
        <f>VLOOKUP(B262,[1]Sheet1!B:N,8,0)</f>
        <v>לוונשטיין טכנולוגיות בע"מ</v>
      </c>
      <c r="H262" t="str">
        <f>VLOOKUP(B262,[1]Sheet1!B:N,5,0)</f>
        <v>01.0195</v>
      </c>
    </row>
    <row r="263" spans="1:8" x14ac:dyDescent="0.3">
      <c r="A263" s="2"/>
      <c r="B263" t="s">
        <v>354</v>
      </c>
      <c r="C263">
        <f>VLOOKUP(B263,[1]Sheet1!B:N,9,0)</f>
        <v>0.6</v>
      </c>
      <c r="D263" t="str">
        <f>VLOOKUP(B263,[1]Sheet1!B:N,10,0)</f>
        <v>₪</v>
      </c>
      <c r="E263" s="3">
        <f>VLOOKUP(B263,[1]Sheet1!B:N,6,0)</f>
        <v>43655</v>
      </c>
      <c r="F263">
        <v>1</v>
      </c>
      <c r="G263" t="str">
        <f>VLOOKUP(B263,[1]Sheet1!B:N,8,0)</f>
        <v>ברמיל בע"מ</v>
      </c>
      <c r="H263" t="str">
        <f>VLOOKUP(B263,[1]Sheet1!B:N,5,0)</f>
        <v>01.0045</v>
      </c>
    </row>
    <row r="264" spans="1:8" x14ac:dyDescent="0.3">
      <c r="A264" s="2"/>
      <c r="B264" t="s">
        <v>355</v>
      </c>
      <c r="C264">
        <f>VLOOKUP(B264,[1]Sheet1!B:N,9,0)</f>
        <v>1.2</v>
      </c>
      <c r="D264" t="str">
        <f>VLOOKUP(B264,[1]Sheet1!B:N,10,0)</f>
        <v>₪</v>
      </c>
      <c r="E264" s="3">
        <f>VLOOKUP(B264,[1]Sheet1!B:N,6,0)</f>
        <v>45747</v>
      </c>
      <c r="F264">
        <v>1</v>
      </c>
      <c r="G264" t="str">
        <f>VLOOKUP(B264,[1]Sheet1!B:N,8,0)</f>
        <v>גין מהנדסים בע"מ</v>
      </c>
      <c r="H264" t="str">
        <f>VLOOKUP(B264,[1]Sheet1!B:N,5,0)</f>
        <v>01.0153</v>
      </c>
    </row>
    <row r="265" spans="1:8" x14ac:dyDescent="0.3">
      <c r="A265" s="2"/>
      <c r="B265" t="s">
        <v>356</v>
      </c>
      <c r="C265">
        <f>VLOOKUP(B265,[1]Sheet1!B:N,9,0)</f>
        <v>0.5</v>
      </c>
      <c r="D265" t="str">
        <f>VLOOKUP(B265,[1]Sheet1!B:N,10,0)</f>
        <v>₪</v>
      </c>
      <c r="E265" s="3">
        <f>VLOOKUP(B265,[1]Sheet1!B:N,6,0)</f>
        <v>45019</v>
      </c>
      <c r="F265">
        <v>1</v>
      </c>
      <c r="G265" t="str">
        <f>VLOOKUP(B265,[1]Sheet1!B:N,8,0)</f>
        <v>לוונשטיין טכנולוגיות בע"מ</v>
      </c>
      <c r="H265" t="str">
        <f>VLOOKUP(B265,[1]Sheet1!B:N,5,0)</f>
        <v>01.0035</v>
      </c>
    </row>
    <row r="266" spans="1:8" x14ac:dyDescent="0.3">
      <c r="A266" s="2"/>
      <c r="B266" t="s">
        <v>357</v>
      </c>
      <c r="C266">
        <f>VLOOKUP(B266,[1]Sheet1!B:N,9,0)</f>
        <v>0</v>
      </c>
      <c r="D266" t="str">
        <f>VLOOKUP(B266,[1]Sheet1!B:N,10,0)</f>
        <v>₪</v>
      </c>
      <c r="E266" s="3">
        <f>VLOOKUP(B266,[1]Sheet1!B:N,6,0)</f>
        <v>43341</v>
      </c>
      <c r="F266">
        <v>1</v>
      </c>
      <c r="G266" t="str">
        <f>VLOOKUP(B266,[1]Sheet1!B:N,8,0)</f>
        <v>גין מהנדסים בע"מ</v>
      </c>
      <c r="H266" t="str">
        <f>VLOOKUP(B266,[1]Sheet1!B:N,5,0)</f>
        <v>01.0442</v>
      </c>
    </row>
    <row r="267" spans="1:8" x14ac:dyDescent="0.3">
      <c r="A267" s="2"/>
      <c r="B267" t="s">
        <v>358</v>
      </c>
      <c r="C267">
        <f>VLOOKUP(B267,[1]Sheet1!B:N,9,0)</f>
        <v>1</v>
      </c>
      <c r="D267" t="str">
        <f>VLOOKUP(B267,[1]Sheet1!B:N,10,0)</f>
        <v>₪</v>
      </c>
      <c r="E267" s="3">
        <f>VLOOKUP(B267,[1]Sheet1!B:N,6,0)</f>
        <v>45201</v>
      </c>
      <c r="F267">
        <v>1</v>
      </c>
      <c r="G267" t="str">
        <f>VLOOKUP(B267,[1]Sheet1!B:N,8,0)</f>
        <v>דר טכנולוגיות בע"מ</v>
      </c>
      <c r="H267" t="str">
        <f>VLOOKUP(B267,[1]Sheet1!B:N,5,0)</f>
        <v>01.0618</v>
      </c>
    </row>
    <row r="268" spans="1:8" x14ac:dyDescent="0.3">
      <c r="A268" s="2"/>
      <c r="B268" t="s">
        <v>359</v>
      </c>
      <c r="C268">
        <f>VLOOKUP(B268,[1]Sheet1!B:N,9,0)</f>
        <v>15</v>
      </c>
      <c r="D268" t="str">
        <f>VLOOKUP(B268,[1]Sheet1!B:N,10,0)</f>
        <v>₪</v>
      </c>
      <c r="E268" s="3">
        <f>VLOOKUP(B268,[1]Sheet1!B:N,6,0)</f>
        <v>45323</v>
      </c>
      <c r="F268">
        <v>1</v>
      </c>
      <c r="G268" t="str">
        <f>VLOOKUP(B268,[1]Sheet1!B:N,8,0)</f>
        <v>גין מהנדסים בע"מ</v>
      </c>
      <c r="H268" t="str">
        <f>VLOOKUP(B268,[1]Sheet1!B:N,5,0)</f>
        <v>01.0641</v>
      </c>
    </row>
    <row r="269" spans="1:8" x14ac:dyDescent="0.3">
      <c r="A269" s="2"/>
      <c r="B269" t="s">
        <v>360</v>
      </c>
      <c r="C269">
        <f>VLOOKUP(B269,[1]Sheet1!B:N,9,0)</f>
        <v>29</v>
      </c>
      <c r="D269" t="str">
        <f>VLOOKUP(B269,[1]Sheet1!B:N,10,0)</f>
        <v>₪</v>
      </c>
      <c r="E269" s="3">
        <f>VLOOKUP(B269,[1]Sheet1!B:N,6,0)</f>
        <v>45748</v>
      </c>
      <c r="F269">
        <v>1</v>
      </c>
      <c r="G269" t="str">
        <f>VLOOKUP(B269,[1]Sheet1!B:N,8,0)</f>
        <v>לוונשטיין טכנולוגיות בע"מ</v>
      </c>
      <c r="H269" t="str">
        <f>VLOOKUP(B269,[1]Sheet1!B:N,5,0)</f>
        <v>01.0258</v>
      </c>
    </row>
    <row r="270" spans="1:8" x14ac:dyDescent="0.3">
      <c r="A270" s="2"/>
      <c r="B270" t="s">
        <v>361</v>
      </c>
      <c r="C270">
        <f>VLOOKUP(B270,[1]Sheet1!B:N,9,0)</f>
        <v>25</v>
      </c>
      <c r="D270" t="str">
        <f>VLOOKUP(B270,[1]Sheet1!B:N,10,0)</f>
        <v>₪</v>
      </c>
      <c r="E270" s="3">
        <f>VLOOKUP(B270,[1]Sheet1!B:N,6,0)</f>
        <v>45516</v>
      </c>
      <c r="F270">
        <v>1</v>
      </c>
      <c r="G270" t="str">
        <f>VLOOKUP(B270,[1]Sheet1!B:N,8,0)</f>
        <v>גין מהנדסים בע"מ</v>
      </c>
      <c r="H270" t="str">
        <f>VLOOKUP(B270,[1]Sheet1!B:N,5,0)</f>
        <v>01.0260</v>
      </c>
    </row>
    <row r="271" spans="1:8" x14ac:dyDescent="0.3">
      <c r="A271" s="2"/>
      <c r="B271" t="s">
        <v>362</v>
      </c>
      <c r="C271">
        <f>VLOOKUP(B271,[1]Sheet1!B:N,9,0)</f>
        <v>25.5</v>
      </c>
      <c r="D271" t="str">
        <f>VLOOKUP(B271,[1]Sheet1!B:N,10,0)</f>
        <v>₪</v>
      </c>
      <c r="E271" s="3">
        <f>VLOOKUP(B271,[1]Sheet1!B:N,6,0)</f>
        <v>41389</v>
      </c>
      <c r="F271">
        <v>1</v>
      </c>
      <c r="G271" t="str">
        <f>VLOOKUP(B271,[1]Sheet1!B:N,8,0)</f>
        <v>לוונשטיין טכנולוגיות</v>
      </c>
      <c r="H271" t="str">
        <f>VLOOKUP(B271,[1]Sheet1!B:N,5,0)</f>
        <v>01.0035</v>
      </c>
    </row>
    <row r="272" spans="1:8" x14ac:dyDescent="0.3">
      <c r="A272" s="2"/>
      <c r="B272" t="s">
        <v>363</v>
      </c>
      <c r="C272">
        <f>VLOOKUP(B272,[1]Sheet1!B:N,9,0)</f>
        <v>490</v>
      </c>
      <c r="D272" t="str">
        <f>VLOOKUP(B272,[1]Sheet1!B:N,10,0)</f>
        <v>₪</v>
      </c>
      <c r="E272" s="3">
        <f>VLOOKUP(B272,[1]Sheet1!B:N,6,0)</f>
        <v>45697</v>
      </c>
      <c r="F272">
        <v>1</v>
      </c>
      <c r="G272" t="str">
        <f>VLOOKUP(B272,[1]Sheet1!B:N,8,0)</f>
        <v>לוונשטיין טכנולוגיות בע"מ</v>
      </c>
      <c r="H272" t="str">
        <f>VLOOKUP(B272,[1]Sheet1!B:N,5,0)</f>
        <v>01.0702</v>
      </c>
    </row>
    <row r="273" spans="1:8" x14ac:dyDescent="0.3">
      <c r="A273" s="2"/>
      <c r="B273" t="s">
        <v>364</v>
      </c>
      <c r="C273">
        <f>VLOOKUP(B273,[1]Sheet1!B:N,9,0)</f>
        <v>210</v>
      </c>
      <c r="D273" t="str">
        <f>VLOOKUP(B273,[1]Sheet1!B:N,10,0)</f>
        <v>₪</v>
      </c>
      <c r="E273" s="3">
        <f>VLOOKUP(B273,[1]Sheet1!B:N,6,0)</f>
        <v>44868</v>
      </c>
      <c r="F273">
        <v>1</v>
      </c>
      <c r="G273" t="str">
        <f>VLOOKUP(B273,[1]Sheet1!B:N,8,0)</f>
        <v>לוונשטיין טכנולוגיות בע"מ</v>
      </c>
      <c r="H273" t="str">
        <f>VLOOKUP(B273,[1]Sheet1!B:N,5,0)</f>
        <v>01.0588</v>
      </c>
    </row>
    <row r="274" spans="1:8" x14ac:dyDescent="0.3">
      <c r="A274" s="2"/>
      <c r="B274" t="s">
        <v>365</v>
      </c>
      <c r="C274">
        <f>VLOOKUP(B274,[1]Sheet1!B:N,9,0)</f>
        <v>210</v>
      </c>
      <c r="D274" t="str">
        <f>VLOOKUP(B274,[1]Sheet1!B:N,10,0)</f>
        <v>₪</v>
      </c>
      <c r="E274" s="3">
        <f>VLOOKUP(B274,[1]Sheet1!B:N,6,0)</f>
        <v>44868</v>
      </c>
      <c r="F274">
        <v>1</v>
      </c>
      <c r="G274" t="str">
        <f>VLOOKUP(B274,[1]Sheet1!B:N,8,0)</f>
        <v>לוונשטיין טכנולוגיות בע"מ</v>
      </c>
      <c r="H274" t="str">
        <f>VLOOKUP(B274,[1]Sheet1!B:N,5,0)</f>
        <v>01.0589</v>
      </c>
    </row>
    <row r="275" spans="1:8" x14ac:dyDescent="0.3">
      <c r="A275" s="2"/>
      <c r="B275" t="s">
        <v>366</v>
      </c>
      <c r="C275">
        <f>VLOOKUP(B275,[1]Sheet1!B:N,9,0)</f>
        <v>210</v>
      </c>
      <c r="D275" t="str">
        <f>VLOOKUP(B275,[1]Sheet1!B:N,10,0)</f>
        <v>₪</v>
      </c>
      <c r="E275" s="3">
        <f>VLOOKUP(B275,[1]Sheet1!B:N,6,0)</f>
        <v>44868</v>
      </c>
      <c r="F275">
        <v>1</v>
      </c>
      <c r="G275" t="str">
        <f>VLOOKUP(B275,[1]Sheet1!B:N,8,0)</f>
        <v>לוונשטיין טכנולוגיות בע"מ</v>
      </c>
      <c r="H275" t="str">
        <f>VLOOKUP(B275,[1]Sheet1!B:N,5,0)</f>
        <v>01.0590</v>
      </c>
    </row>
    <row r="276" spans="1:8" x14ac:dyDescent="0.3">
      <c r="A276" s="2"/>
      <c r="B276" t="s">
        <v>367</v>
      </c>
      <c r="C276">
        <f>VLOOKUP(B276,[1]Sheet1!B:N,9,0)</f>
        <v>210</v>
      </c>
      <c r="D276" t="str">
        <f>VLOOKUP(B276,[1]Sheet1!B:N,10,0)</f>
        <v>₪</v>
      </c>
      <c r="E276" s="3">
        <f>VLOOKUP(B276,[1]Sheet1!B:N,6,0)</f>
        <v>44868</v>
      </c>
      <c r="F276">
        <v>1</v>
      </c>
      <c r="G276" t="str">
        <f>VLOOKUP(B276,[1]Sheet1!B:N,8,0)</f>
        <v>לוונשטיין טכנולוגיות בע"מ</v>
      </c>
      <c r="H276" t="str">
        <f>VLOOKUP(B276,[1]Sheet1!B:N,5,0)</f>
        <v>01.0591</v>
      </c>
    </row>
    <row r="277" spans="1:8" x14ac:dyDescent="0.3">
      <c r="A277" s="2"/>
      <c r="B277" t="s">
        <v>368</v>
      </c>
      <c r="C277">
        <f>VLOOKUP(B277,[1]Sheet1!B:N,9,0)</f>
        <v>210</v>
      </c>
      <c r="D277" t="str">
        <f>VLOOKUP(B277,[1]Sheet1!B:N,10,0)</f>
        <v>₪</v>
      </c>
      <c r="E277" s="3">
        <f>VLOOKUP(B277,[1]Sheet1!B:N,6,0)</f>
        <v>44868</v>
      </c>
      <c r="F277">
        <v>1</v>
      </c>
      <c r="G277" t="str">
        <f>VLOOKUP(B277,[1]Sheet1!B:N,8,0)</f>
        <v>לוונשטיין טכנולוגיות בע"מ</v>
      </c>
      <c r="H277" t="str">
        <f>VLOOKUP(B277,[1]Sheet1!B:N,5,0)</f>
        <v>01.0592</v>
      </c>
    </row>
    <row r="278" spans="1:8" x14ac:dyDescent="0.3">
      <c r="A278" s="2"/>
      <c r="B278" t="s">
        <v>369</v>
      </c>
      <c r="C278">
        <f>VLOOKUP(B278,[1]Sheet1!B:N,9,0)</f>
        <v>4.2</v>
      </c>
      <c r="D278" t="str">
        <f>VLOOKUP(B278,[1]Sheet1!B:N,10,0)</f>
        <v>₪</v>
      </c>
      <c r="E278" s="3">
        <f>VLOOKUP(B278,[1]Sheet1!B:N,6,0)</f>
        <v>43697</v>
      </c>
      <c r="F278">
        <v>1</v>
      </c>
      <c r="G278" t="str">
        <f>VLOOKUP(B278,[1]Sheet1!B:N,8,0)</f>
        <v>גין מהנדסים בע"מ</v>
      </c>
      <c r="H278" t="str">
        <f>VLOOKUP(B278,[1]Sheet1!B:N,5,0)</f>
        <v>01.0497</v>
      </c>
    </row>
    <row r="279" spans="1:8" x14ac:dyDescent="0.3">
      <c r="A279" s="2"/>
      <c r="B279" t="s">
        <v>370</v>
      </c>
      <c r="C279">
        <f>VLOOKUP(B279,[1]Sheet1!B:N,9,0)</f>
        <v>8.5</v>
      </c>
      <c r="D279" t="str">
        <f>VLOOKUP(B279,[1]Sheet1!B:N,10,0)</f>
        <v>₪</v>
      </c>
      <c r="E279" s="3">
        <f>VLOOKUP(B279,[1]Sheet1!B:N,6,0)</f>
        <v>41927</v>
      </c>
      <c r="F279">
        <v>1</v>
      </c>
      <c r="G279" t="str">
        <f>VLOOKUP(B279,[1]Sheet1!B:N,8,0)</f>
        <v>גין מהנדסים בע"מ</v>
      </c>
      <c r="H279" t="str">
        <f>VLOOKUP(B279,[1]Sheet1!B:N,5,0)</f>
        <v>01.0203</v>
      </c>
    </row>
    <row r="280" spans="1:8" x14ac:dyDescent="0.3">
      <c r="A280" s="2"/>
      <c r="B280" t="s">
        <v>371</v>
      </c>
      <c r="C280">
        <f>VLOOKUP(B280,[1]Sheet1!B:N,9,0)</f>
        <v>20</v>
      </c>
      <c r="D280" t="str">
        <f>VLOOKUP(B280,[1]Sheet1!B:N,10,0)</f>
        <v>₪</v>
      </c>
      <c r="E280" s="3">
        <f>VLOOKUP(B280,[1]Sheet1!B:N,6,0)</f>
        <v>43648</v>
      </c>
      <c r="F280">
        <v>1</v>
      </c>
      <c r="G280" t="str">
        <f>VLOOKUP(B280,[1]Sheet1!B:N,8,0)</f>
        <v>דר טכנולוגיות בע"מ</v>
      </c>
      <c r="H280" t="str">
        <f>VLOOKUP(B280,[1]Sheet1!B:N,5,0)</f>
        <v>01.0196</v>
      </c>
    </row>
    <row r="281" spans="1:8" x14ac:dyDescent="0.3">
      <c r="A281" s="2"/>
      <c r="B281" t="s">
        <v>372</v>
      </c>
      <c r="C281">
        <f>VLOOKUP(B281,[1]Sheet1!B:N,9,0)</f>
        <v>17</v>
      </c>
      <c r="D281" t="str">
        <f>VLOOKUP(B281,[1]Sheet1!B:N,10,0)</f>
        <v>₪</v>
      </c>
      <c r="E281" s="3">
        <f>VLOOKUP(B281,[1]Sheet1!B:N,6,0)</f>
        <v>45561</v>
      </c>
      <c r="F281">
        <v>1</v>
      </c>
      <c r="G281" t="str">
        <f>VLOOKUP(B281,[1]Sheet1!B:N,8,0)</f>
        <v>גין מהנדסים בע"מ</v>
      </c>
      <c r="H281" t="str">
        <f>VLOOKUP(B281,[1]Sheet1!B:N,5,0)</f>
        <v>01.0676</v>
      </c>
    </row>
    <row r="282" spans="1:8" x14ac:dyDescent="0.3">
      <c r="A282" s="2"/>
      <c r="B282" t="s">
        <v>373</v>
      </c>
      <c r="C282">
        <f>VLOOKUP(B282,[1]Sheet1!B:N,9,0)</f>
        <v>28.5</v>
      </c>
      <c r="D282" t="str">
        <f>VLOOKUP(B282,[1]Sheet1!B:N,10,0)</f>
        <v>₪</v>
      </c>
      <c r="E282" s="3">
        <f>VLOOKUP(B282,[1]Sheet1!B:N,6,0)</f>
        <v>45728</v>
      </c>
      <c r="F282">
        <v>1</v>
      </c>
      <c r="G282" t="str">
        <f>VLOOKUP(B282,[1]Sheet1!B:N,8,0)</f>
        <v>גין מהנדסים בע"מ</v>
      </c>
      <c r="H282" t="str">
        <f>VLOOKUP(B282,[1]Sheet1!B:N,5,0)</f>
        <v>01.0715</v>
      </c>
    </row>
    <row r="283" spans="1:8" x14ac:dyDescent="0.3">
      <c r="A283" s="2"/>
      <c r="B283" t="s">
        <v>374</v>
      </c>
      <c r="C283">
        <f>VLOOKUP(B283,[1]Sheet1!B:N,9,0)</f>
        <v>25</v>
      </c>
      <c r="D283" t="str">
        <f>VLOOKUP(B283,[1]Sheet1!B:N,10,0)</f>
        <v>₪</v>
      </c>
      <c r="E283" s="3">
        <f>VLOOKUP(B283,[1]Sheet1!B:N,6,0)</f>
        <v>45602</v>
      </c>
      <c r="F283">
        <v>1</v>
      </c>
      <c r="G283" t="str">
        <f>VLOOKUP(B283,[1]Sheet1!B:N,8,0)</f>
        <v>גין מהנדסים בע"מ</v>
      </c>
      <c r="H283" t="str">
        <f>VLOOKUP(B283,[1]Sheet1!B:N,5,0)</f>
        <v>01.0687</v>
      </c>
    </row>
    <row r="284" spans="1:8" x14ac:dyDescent="0.3">
      <c r="A284" s="2"/>
      <c r="B284" t="s">
        <v>375</v>
      </c>
      <c r="C284">
        <f>VLOOKUP(B284,[1]Sheet1!B:N,9,0)</f>
        <v>0</v>
      </c>
      <c r="D284" t="str">
        <f>VLOOKUP(B284,[1]Sheet1!B:N,10,0)</f>
        <v>₪</v>
      </c>
      <c r="E284" s="3">
        <f>VLOOKUP(B284,[1]Sheet1!B:N,6,0)</f>
        <v>44510</v>
      </c>
      <c r="F284">
        <v>1</v>
      </c>
      <c r="G284" t="str">
        <f>VLOOKUP(B284,[1]Sheet1!B:N,8,0)</f>
        <v>מאור גבריאלי הספקה ט</v>
      </c>
      <c r="H284" t="str">
        <f>VLOOKUP(B284,[1]Sheet1!B:N,5,0)</f>
        <v>01.0320</v>
      </c>
    </row>
    <row r="285" spans="1:8" x14ac:dyDescent="0.3">
      <c r="A285" s="4"/>
      <c r="B285" t="s">
        <v>376</v>
      </c>
      <c r="C285">
        <f>VLOOKUP(B285,[1]Sheet1!B:N,9,0)</f>
        <v>180</v>
      </c>
      <c r="D285" t="str">
        <f>VLOOKUP(B285,[1]Sheet1!B:N,10,0)</f>
        <v>₪</v>
      </c>
      <c r="E285" s="3">
        <f>VLOOKUP(B285,[1]Sheet1!B:N,6,0)</f>
        <v>44776</v>
      </c>
      <c r="F285">
        <v>1</v>
      </c>
      <c r="G285" t="str">
        <f>VLOOKUP(B285,[1]Sheet1!B:N,8,0)</f>
        <v>מאור גבריאלי הספקה ט</v>
      </c>
      <c r="H285" t="str">
        <f>VLOOKUP(B285,[1]Sheet1!B:N,5,0)</f>
        <v>01.0584</v>
      </c>
    </row>
    <row r="286" spans="1:8" x14ac:dyDescent="0.3">
      <c r="A286" s="2"/>
      <c r="B286" t="s">
        <v>377</v>
      </c>
      <c r="C286">
        <f>VLOOKUP(B286,[1]Sheet1!B:N,9,0)</f>
        <v>0</v>
      </c>
      <c r="D286" t="str">
        <f>VLOOKUP(B286,[1]Sheet1!B:N,10,0)</f>
        <v>₪</v>
      </c>
      <c r="E286" s="3">
        <f>VLOOKUP(B286,[1]Sheet1!B:N,6,0)</f>
        <v>44510</v>
      </c>
      <c r="F286">
        <v>1</v>
      </c>
      <c r="G286" t="str">
        <f>VLOOKUP(B286,[1]Sheet1!B:N,8,0)</f>
        <v>מאור גבריאלי הספקה ט</v>
      </c>
      <c r="H286" t="str">
        <f>VLOOKUP(B286,[1]Sheet1!B:N,5,0)</f>
        <v>01.0540</v>
      </c>
    </row>
    <row r="287" spans="1:8" x14ac:dyDescent="0.3">
      <c r="A287" s="2"/>
      <c r="B287" t="s">
        <v>378</v>
      </c>
      <c r="C287">
        <f>VLOOKUP(B287,[1]Sheet1!B:N,9,0)</f>
        <v>0</v>
      </c>
      <c r="D287" t="str">
        <f>VLOOKUP(B287,[1]Sheet1!B:N,10,0)</f>
        <v>₪</v>
      </c>
      <c r="E287" s="3">
        <f>VLOOKUP(B287,[1]Sheet1!B:N,6,0)</f>
        <v>44510</v>
      </c>
      <c r="F287">
        <v>1</v>
      </c>
      <c r="G287" t="str">
        <f>VLOOKUP(B287,[1]Sheet1!B:N,8,0)</f>
        <v>מאור גבריאלי הספקה ט</v>
      </c>
      <c r="H287" t="str">
        <f>VLOOKUP(B287,[1]Sheet1!B:N,5,0)</f>
        <v>01.0433</v>
      </c>
    </row>
    <row r="288" spans="1:8" x14ac:dyDescent="0.3">
      <c r="A288" s="4"/>
      <c r="B288" t="s">
        <v>379</v>
      </c>
      <c r="C288">
        <f>VLOOKUP(B288,[1]Sheet1!B:N,9,0)</f>
        <v>0</v>
      </c>
      <c r="D288" t="str">
        <f>VLOOKUP(B288,[1]Sheet1!B:N,10,0)</f>
        <v>₪</v>
      </c>
      <c r="E288" s="3">
        <f>VLOOKUP(B288,[1]Sheet1!B:N,6,0)</f>
        <v>44510</v>
      </c>
      <c r="F288">
        <v>1</v>
      </c>
      <c r="G288" t="str">
        <f>VLOOKUP(B288,[1]Sheet1!B:N,8,0)</f>
        <v>מאור גבריאלי הספקה ט</v>
      </c>
      <c r="H288" t="str">
        <f>VLOOKUP(B288,[1]Sheet1!B:N,5,0)</f>
        <v>01.0451</v>
      </c>
    </row>
    <row r="289" spans="1:8" x14ac:dyDescent="0.3">
      <c r="A289" s="4"/>
      <c r="B289" t="s">
        <v>380</v>
      </c>
      <c r="C289">
        <f>VLOOKUP(B289,[1]Sheet1!B:N,9,0)</f>
        <v>6</v>
      </c>
      <c r="D289" t="str">
        <f>VLOOKUP(B289,[1]Sheet1!B:N,10,0)</f>
        <v>₪</v>
      </c>
      <c r="E289" s="3">
        <f>VLOOKUP(B289,[1]Sheet1!B:N,6,0)</f>
        <v>45728</v>
      </c>
      <c r="F289">
        <v>1</v>
      </c>
      <c r="G289" t="str">
        <f>VLOOKUP(B289,[1]Sheet1!B:N,8,0)</f>
        <v>גין מהנדסים בע"מ</v>
      </c>
      <c r="H289" t="str">
        <f>VLOOKUP(B289,[1]Sheet1!B:N,5,0)</f>
        <v>01.0716</v>
      </c>
    </row>
    <row r="290" spans="1:8" x14ac:dyDescent="0.3">
      <c r="A290" s="2"/>
      <c r="B290" t="s">
        <v>381</v>
      </c>
      <c r="C290">
        <f>VLOOKUP(B290,[1]Sheet1!B:N,9,0)</f>
        <v>0.7</v>
      </c>
      <c r="D290" t="str">
        <f>VLOOKUP(B290,[1]Sheet1!B:N,10,0)</f>
        <v>₪</v>
      </c>
      <c r="E290" s="3">
        <f>VLOOKUP(B290,[1]Sheet1!B:N,6,0)</f>
        <v>45257</v>
      </c>
      <c r="F290">
        <v>1</v>
      </c>
      <c r="G290" t="str">
        <f>VLOOKUP(B290,[1]Sheet1!B:N,8,0)</f>
        <v>לוונשטיין טכנולוגיות בע"מ</v>
      </c>
      <c r="H290" t="str">
        <f>VLOOKUP(B290,[1]Sheet1!B:N,5,0)</f>
        <v>01.0635</v>
      </c>
    </row>
    <row r="291" spans="1:8" x14ac:dyDescent="0.3">
      <c r="A291" s="4"/>
      <c r="B291" t="s">
        <v>382</v>
      </c>
      <c r="C291">
        <f>VLOOKUP(B291,[1]Sheet1!B:N,9,0)</f>
        <v>1</v>
      </c>
      <c r="D291" t="str">
        <f>VLOOKUP(B291,[1]Sheet1!B:N,10,0)</f>
        <v>₪</v>
      </c>
      <c r="E291" s="3">
        <f>VLOOKUP(B291,[1]Sheet1!B:N,6,0)</f>
        <v>43629</v>
      </c>
      <c r="F291">
        <v>1</v>
      </c>
      <c r="G291" t="str">
        <f>VLOOKUP(B291,[1]Sheet1!B:N,8,0)</f>
        <v>דר טכנולוגיות בע"מ</v>
      </c>
      <c r="H291" t="str">
        <f>VLOOKUP(B291,[1]Sheet1!B:N,5,0)</f>
        <v>01.0482</v>
      </c>
    </row>
    <row r="292" spans="1:8" x14ac:dyDescent="0.3">
      <c r="A292" s="4"/>
      <c r="B292" t="s">
        <v>383</v>
      </c>
      <c r="C292">
        <f>VLOOKUP(B292,[1]Sheet1!B:N,9,0)</f>
        <v>0.59</v>
      </c>
      <c r="D292" t="str">
        <f>VLOOKUP(B292,[1]Sheet1!B:N,10,0)</f>
        <v>₪</v>
      </c>
      <c r="E292" s="3">
        <f>VLOOKUP(B292,[1]Sheet1!B:N,6,0)</f>
        <v>45257</v>
      </c>
      <c r="F292">
        <v>1</v>
      </c>
      <c r="G292" t="str">
        <f>VLOOKUP(B292,[1]Sheet1!B:N,8,0)</f>
        <v>לוונשטיין טכנולוגיות בע"מ</v>
      </c>
      <c r="H292" t="str">
        <f>VLOOKUP(B292,[1]Sheet1!B:N,5,0)</f>
        <v>01.0634</v>
      </c>
    </row>
    <row r="293" spans="1:8" x14ac:dyDescent="0.3">
      <c r="A293" s="4"/>
      <c r="B293" t="s">
        <v>384</v>
      </c>
      <c r="C293">
        <f>VLOOKUP(B293,[1]Sheet1!B:N,9,0)</f>
        <v>1.35</v>
      </c>
      <c r="D293" t="str">
        <f>VLOOKUP(B293,[1]Sheet1!B:N,10,0)</f>
        <v>₪</v>
      </c>
      <c r="E293" s="3">
        <f>VLOOKUP(B293,[1]Sheet1!B:N,6,0)</f>
        <v>45258</v>
      </c>
      <c r="F293">
        <v>1</v>
      </c>
      <c r="G293" t="str">
        <f>VLOOKUP(B293,[1]Sheet1!B:N,8,0)</f>
        <v>לוונשטיין טכנולוגיות בע"מ</v>
      </c>
      <c r="H293" t="str">
        <f>VLOOKUP(B293,[1]Sheet1!B:N,5,0)</f>
        <v>01.0634</v>
      </c>
    </row>
    <row r="294" spans="1:8" x14ac:dyDescent="0.3">
      <c r="A294" s="2"/>
      <c r="B294" t="s">
        <v>385</v>
      </c>
      <c r="C294">
        <f>VLOOKUP(B294,[1]Sheet1!B:N,9,0)</f>
        <v>0.7</v>
      </c>
      <c r="D294" t="str">
        <f>VLOOKUP(B294,[1]Sheet1!B:N,10,0)</f>
        <v>₪</v>
      </c>
      <c r="E294" s="3">
        <f>VLOOKUP(B294,[1]Sheet1!B:N,6,0)</f>
        <v>41518</v>
      </c>
      <c r="F294">
        <v>1</v>
      </c>
      <c r="G294" t="str">
        <f>VLOOKUP(B294,[1]Sheet1!B:N,8,0)</f>
        <v>לוונשטיין טכנולוגיות</v>
      </c>
      <c r="H294" t="str">
        <f>VLOOKUP(B294,[1]Sheet1!B:N,5,0)</f>
        <v>01.0128</v>
      </c>
    </row>
    <row r="295" spans="1:8" x14ac:dyDescent="0.3">
      <c r="A295" s="2"/>
      <c r="B295" t="s">
        <v>386</v>
      </c>
      <c r="C295">
        <f>VLOOKUP(B295,[1]Sheet1!B:N,9,0)</f>
        <v>0.48</v>
      </c>
      <c r="D295" t="str">
        <f>VLOOKUP(B295,[1]Sheet1!B:N,10,0)</f>
        <v>₪</v>
      </c>
      <c r="E295" s="3">
        <f>VLOOKUP(B295,[1]Sheet1!B:N,6,0)</f>
        <v>43536</v>
      </c>
      <c r="F295">
        <v>1</v>
      </c>
      <c r="G295" t="str">
        <f>VLOOKUP(B295,[1]Sheet1!B:N,8,0)</f>
        <v>דר טכנולוגיות בע"מ</v>
      </c>
      <c r="H295" t="str">
        <f>VLOOKUP(B295,[1]Sheet1!B:N,5,0)</f>
        <v>01.0474</v>
      </c>
    </row>
    <row r="296" spans="1:8" x14ac:dyDescent="0.3">
      <c r="A296" s="4"/>
      <c r="B296" t="s">
        <v>387</v>
      </c>
      <c r="C296">
        <f>VLOOKUP(B296,[1]Sheet1!B:N,9,0)</f>
        <v>0.55000000000000004</v>
      </c>
      <c r="D296" t="str">
        <f>VLOOKUP(B296,[1]Sheet1!B:N,10,0)</f>
        <v>₪</v>
      </c>
      <c r="E296" s="3">
        <f>VLOOKUP(B296,[1]Sheet1!B:N,6,0)</f>
        <v>45257</v>
      </c>
      <c r="F296">
        <v>1</v>
      </c>
      <c r="G296" t="str">
        <f>VLOOKUP(B296,[1]Sheet1!B:N,8,0)</f>
        <v>לוונשטיין טכנולוגיות בע"מ</v>
      </c>
      <c r="H296" t="str">
        <f>VLOOKUP(B296,[1]Sheet1!B:N,5,0)</f>
        <v>01.0633</v>
      </c>
    </row>
    <row r="297" spans="1:8" x14ac:dyDescent="0.3">
      <c r="A297" s="2"/>
      <c r="B297" t="s">
        <v>388</v>
      </c>
      <c r="C297">
        <f>VLOOKUP(B297,[1]Sheet1!B:N,9,0)</f>
        <v>0.9</v>
      </c>
      <c r="D297" t="str">
        <f>VLOOKUP(B297,[1]Sheet1!B:N,10,0)</f>
        <v>₪</v>
      </c>
      <c r="E297" s="3">
        <f>VLOOKUP(B297,[1]Sheet1!B:N,6,0)</f>
        <v>45258</v>
      </c>
      <c r="F297">
        <v>1</v>
      </c>
      <c r="G297" t="str">
        <f>VLOOKUP(B297,[1]Sheet1!B:N,8,0)</f>
        <v>לוונשטיין טכנולוגיות בע"מ</v>
      </c>
      <c r="H297" t="str">
        <f>VLOOKUP(B297,[1]Sheet1!B:N,5,0)</f>
        <v>01.0636</v>
      </c>
    </row>
    <row r="298" spans="1:8" x14ac:dyDescent="0.3">
      <c r="A298" s="2"/>
      <c r="B298" t="s">
        <v>389</v>
      </c>
      <c r="C298">
        <f>VLOOKUP(B298,[1]Sheet1!B:N,9,0)</f>
        <v>0.79</v>
      </c>
      <c r="D298" t="str">
        <f>VLOOKUP(B298,[1]Sheet1!B:N,10,0)</f>
        <v>₪</v>
      </c>
      <c r="E298" s="3">
        <f>VLOOKUP(B298,[1]Sheet1!B:N,6,0)</f>
        <v>41389</v>
      </c>
      <c r="F298">
        <v>1</v>
      </c>
      <c r="G298" t="str">
        <f>VLOOKUP(B298,[1]Sheet1!B:N,8,0)</f>
        <v>לוונשטיין טכנולוגיות</v>
      </c>
      <c r="H298" t="str">
        <f>VLOOKUP(B298,[1]Sheet1!B:N,5,0)</f>
        <v>01.0096</v>
      </c>
    </row>
    <row r="299" spans="1:8" x14ac:dyDescent="0.3">
      <c r="A299" s="2"/>
      <c r="B299" t="s">
        <v>390</v>
      </c>
      <c r="C299">
        <f>VLOOKUP(B299,[1]Sheet1!B:N,9,0)</f>
        <v>1.0900000000000001</v>
      </c>
      <c r="D299" t="str">
        <f>VLOOKUP(B299,[1]Sheet1!B:N,10,0)</f>
        <v>₪</v>
      </c>
      <c r="E299" s="3">
        <f>VLOOKUP(B299,[1]Sheet1!B:N,6,0)</f>
        <v>41389</v>
      </c>
      <c r="F299">
        <v>1</v>
      </c>
      <c r="G299" t="str">
        <f>VLOOKUP(B299,[1]Sheet1!B:N,8,0)</f>
        <v>לוונשטיין טכנולוגיות</v>
      </c>
      <c r="H299" t="str">
        <f>VLOOKUP(B299,[1]Sheet1!B:N,5,0)</f>
        <v>01.0098</v>
      </c>
    </row>
    <row r="300" spans="1:8" x14ac:dyDescent="0.3">
      <c r="A300" s="4"/>
      <c r="B300" t="s">
        <v>391</v>
      </c>
      <c r="C300">
        <f>VLOOKUP(B300,[1]Sheet1!B:N,9,0)</f>
        <v>0.44</v>
      </c>
      <c r="D300" t="str">
        <f>VLOOKUP(B300,[1]Sheet1!B:N,10,0)</f>
        <v>₪</v>
      </c>
      <c r="E300" s="3">
        <f>VLOOKUP(B300,[1]Sheet1!B:N,6,0)</f>
        <v>43536</v>
      </c>
      <c r="F300">
        <v>1</v>
      </c>
      <c r="G300" t="str">
        <f>VLOOKUP(B300,[1]Sheet1!B:N,8,0)</f>
        <v>דר טכנולוגיות בע"מ</v>
      </c>
      <c r="H300" t="str">
        <f>VLOOKUP(B300,[1]Sheet1!B:N,5,0)</f>
        <v>01.0476</v>
      </c>
    </row>
    <row r="301" spans="1:8" x14ac:dyDescent="0.3">
      <c r="A301" s="4"/>
      <c r="B301" t="s">
        <v>392</v>
      </c>
      <c r="C301">
        <f>VLOOKUP(B301,[1]Sheet1!B:N,9,0)</f>
        <v>0.5</v>
      </c>
      <c r="D301" t="str">
        <f>VLOOKUP(B301,[1]Sheet1!B:N,10,0)</f>
        <v>₪</v>
      </c>
      <c r="E301" s="3">
        <f>VLOOKUP(B301,[1]Sheet1!B:N,6,0)</f>
        <v>43536</v>
      </c>
      <c r="F301">
        <v>1</v>
      </c>
      <c r="G301" t="str">
        <f>VLOOKUP(B301,[1]Sheet1!B:N,8,0)</f>
        <v>דר טכנולוגיות בע"מ</v>
      </c>
      <c r="H301" t="str">
        <f>VLOOKUP(B301,[1]Sheet1!B:N,5,0)</f>
        <v>01.0477</v>
      </c>
    </row>
    <row r="302" spans="1:8" x14ac:dyDescent="0.3">
      <c r="A302" s="4"/>
      <c r="B302" t="s">
        <v>393</v>
      </c>
      <c r="C302">
        <f>VLOOKUP(B302,[1]Sheet1!B:N,9,0)</f>
        <v>0.39</v>
      </c>
      <c r="D302" t="str">
        <f>VLOOKUP(B302,[1]Sheet1!B:N,10,0)</f>
        <v>₪</v>
      </c>
      <c r="E302" s="3">
        <f>VLOOKUP(B302,[1]Sheet1!B:N,6,0)</f>
        <v>43536</v>
      </c>
      <c r="F302">
        <v>1</v>
      </c>
      <c r="G302" t="str">
        <f>VLOOKUP(B302,[1]Sheet1!B:N,8,0)</f>
        <v>דר טכנולוגיות בע"מ</v>
      </c>
      <c r="H302" t="str">
        <f>VLOOKUP(B302,[1]Sheet1!B:N,5,0)</f>
        <v>01.0472</v>
      </c>
    </row>
    <row r="303" spans="1:8" x14ac:dyDescent="0.3">
      <c r="A303" s="2"/>
      <c r="B303" t="s">
        <v>394</v>
      </c>
      <c r="C303">
        <f>VLOOKUP(B303,[1]Sheet1!B:N,9,0)</f>
        <v>0.5</v>
      </c>
      <c r="D303" t="str">
        <f>VLOOKUP(B303,[1]Sheet1!B:N,10,0)</f>
        <v>₪</v>
      </c>
      <c r="E303" s="3">
        <f>VLOOKUP(B303,[1]Sheet1!B:N,6,0)</f>
        <v>45406</v>
      </c>
      <c r="F303">
        <v>1</v>
      </c>
      <c r="G303" t="str">
        <f>VLOOKUP(B303,[1]Sheet1!B:N,8,0)</f>
        <v>דר טכנולוגיות בע"מ</v>
      </c>
      <c r="H303" t="str">
        <f>VLOOKUP(B303,[1]Sheet1!B:N,5,0)</f>
        <v>01.0418</v>
      </c>
    </row>
    <row r="304" spans="1:8" x14ac:dyDescent="0.3">
      <c r="A304" s="4"/>
      <c r="B304" t="s">
        <v>395</v>
      </c>
      <c r="C304">
        <f>VLOOKUP(B304,[1]Sheet1!B:N,9,0)</f>
        <v>0.54</v>
      </c>
      <c r="D304" t="str">
        <f>VLOOKUP(B304,[1]Sheet1!B:N,10,0)</f>
        <v>₪</v>
      </c>
      <c r="E304" s="3">
        <f>VLOOKUP(B304,[1]Sheet1!B:N,6,0)</f>
        <v>45414</v>
      </c>
      <c r="F304">
        <v>1</v>
      </c>
      <c r="G304" t="str">
        <f>VLOOKUP(B304,[1]Sheet1!B:N,8,0)</f>
        <v>לוונשטיין טכנולוגיות בע"מ</v>
      </c>
      <c r="H304" t="str">
        <f>VLOOKUP(B304,[1]Sheet1!B:N,5,0)</f>
        <v>01.0418</v>
      </c>
    </row>
    <row r="305" spans="1:8" x14ac:dyDescent="0.3">
      <c r="A305" s="4"/>
      <c r="B305" t="s">
        <v>396</v>
      </c>
      <c r="C305">
        <f>VLOOKUP(B305,[1]Sheet1!B:N,9,0)</f>
        <v>0.48</v>
      </c>
      <c r="D305" t="str">
        <f>VLOOKUP(B305,[1]Sheet1!B:N,10,0)</f>
        <v>₪</v>
      </c>
      <c r="E305" s="3">
        <f>VLOOKUP(B305,[1]Sheet1!B:N,6,0)</f>
        <v>43536</v>
      </c>
      <c r="F305">
        <v>1</v>
      </c>
      <c r="G305" t="str">
        <f>VLOOKUP(B305,[1]Sheet1!B:N,8,0)</f>
        <v>דר טכנולוגיות בע"מ</v>
      </c>
      <c r="H305" t="str">
        <f>VLOOKUP(B305,[1]Sheet1!B:N,5,0)</f>
        <v>01.0473</v>
      </c>
    </row>
    <row r="306" spans="1:8" x14ac:dyDescent="0.3">
      <c r="A306" s="2"/>
      <c r="B306" t="s">
        <v>397</v>
      </c>
      <c r="C306">
        <f>VLOOKUP(B306,[1]Sheet1!B:N,9,0)</f>
        <v>0.65</v>
      </c>
      <c r="D306" t="str">
        <f>VLOOKUP(B306,[1]Sheet1!B:N,10,0)</f>
        <v>₪</v>
      </c>
      <c r="E306" s="3">
        <f>VLOOKUP(B306,[1]Sheet1!B:N,6,0)</f>
        <v>45855</v>
      </c>
      <c r="F306">
        <v>1</v>
      </c>
      <c r="G306" t="str">
        <f>VLOOKUP(B306,[1]Sheet1!B:N,8,0)</f>
        <v>דר טכנולוגיות בע"מ</v>
      </c>
      <c r="H306" t="str">
        <f>VLOOKUP(B306,[1]Sheet1!B:N,5,0)</f>
        <v>01.0728</v>
      </c>
    </row>
    <row r="307" spans="1:8" x14ac:dyDescent="0.3">
      <c r="A307" s="4"/>
      <c r="B307" t="s">
        <v>398</v>
      </c>
      <c r="C307">
        <f>VLOOKUP(B307,[1]Sheet1!B:N,9,0)</f>
        <v>0.6</v>
      </c>
      <c r="D307" t="str">
        <f>VLOOKUP(B307,[1]Sheet1!B:N,10,0)</f>
        <v>₪</v>
      </c>
      <c r="E307" s="3">
        <f>VLOOKUP(B307,[1]Sheet1!B:N,6,0)</f>
        <v>45181</v>
      </c>
      <c r="F307">
        <v>1</v>
      </c>
      <c r="G307" t="str">
        <f>VLOOKUP(B307,[1]Sheet1!B:N,8,0)</f>
        <v>דר טכנולוגיות בע"מ</v>
      </c>
      <c r="H307" t="str">
        <f>VLOOKUP(B307,[1]Sheet1!B:N,5,0)</f>
        <v>01.0616</v>
      </c>
    </row>
    <row r="308" spans="1:8" x14ac:dyDescent="0.3">
      <c r="A308" s="4"/>
      <c r="B308" t="s">
        <v>399</v>
      </c>
      <c r="C308">
        <f>VLOOKUP(B308,[1]Sheet1!B:N,9,0)</f>
        <v>0.8</v>
      </c>
      <c r="D308" t="str">
        <f>VLOOKUP(B308,[1]Sheet1!B:N,10,0)</f>
        <v>₪</v>
      </c>
      <c r="E308" s="3">
        <f>VLOOKUP(B308,[1]Sheet1!B:N,6,0)</f>
        <v>45484</v>
      </c>
      <c r="F308">
        <v>1</v>
      </c>
      <c r="G308" t="str">
        <f>VLOOKUP(B308,[1]Sheet1!B:N,8,0)</f>
        <v>דר טכנולוגיות בע"מ</v>
      </c>
      <c r="H308" t="str">
        <f>VLOOKUP(B308,[1]Sheet1!B:N,5,0)</f>
        <v>01.0663</v>
      </c>
    </row>
    <row r="309" spans="1:8" x14ac:dyDescent="0.3">
      <c r="A309" s="4"/>
      <c r="B309" t="s">
        <v>400</v>
      </c>
      <c r="C309">
        <f>VLOOKUP(B309,[1]Sheet1!B:N,9,0)</f>
        <v>0.55000000000000004</v>
      </c>
      <c r="D309" t="str">
        <f>VLOOKUP(B309,[1]Sheet1!B:N,10,0)</f>
        <v>₪</v>
      </c>
      <c r="E309" s="3">
        <f>VLOOKUP(B309,[1]Sheet1!B:N,6,0)</f>
        <v>43536</v>
      </c>
      <c r="F309">
        <v>1</v>
      </c>
      <c r="G309" t="str">
        <f>VLOOKUP(B309,[1]Sheet1!B:N,8,0)</f>
        <v>דר טכנולוגיות בע"מ</v>
      </c>
      <c r="H309" t="str">
        <f>VLOOKUP(B309,[1]Sheet1!B:N,5,0)</f>
        <v>01.0475</v>
      </c>
    </row>
    <row r="310" spans="1:8" x14ac:dyDescent="0.3">
      <c r="A310" s="4"/>
      <c r="B310" t="s">
        <v>401</v>
      </c>
      <c r="C310">
        <f>VLOOKUP(B310,[1]Sheet1!B:N,9,0)</f>
        <v>0.55000000000000004</v>
      </c>
      <c r="D310" t="str">
        <f>VLOOKUP(B310,[1]Sheet1!B:N,10,0)</f>
        <v>₪</v>
      </c>
      <c r="E310" s="3">
        <f>VLOOKUP(B310,[1]Sheet1!B:N,6,0)</f>
        <v>45238</v>
      </c>
      <c r="F310">
        <v>1</v>
      </c>
      <c r="G310" t="str">
        <f>VLOOKUP(B310,[1]Sheet1!B:N,8,0)</f>
        <v>דר טכנולוגיות בע"מ</v>
      </c>
      <c r="H310" t="str">
        <f>VLOOKUP(B310,[1]Sheet1!B:N,5,0)</f>
        <v>01.0336</v>
      </c>
    </row>
    <row r="311" spans="1:8" x14ac:dyDescent="0.3">
      <c r="A311" s="4"/>
      <c r="B311" t="s">
        <v>402</v>
      </c>
      <c r="C311">
        <f>VLOOKUP(B311,[1]Sheet1!B:N,9,0)</f>
        <v>1.6</v>
      </c>
      <c r="D311" t="str">
        <f>VLOOKUP(B311,[1]Sheet1!B:N,10,0)</f>
        <v>₪</v>
      </c>
      <c r="E311" s="3">
        <f>VLOOKUP(B311,[1]Sheet1!B:N,6,0)</f>
        <v>45368</v>
      </c>
      <c r="F311">
        <v>1</v>
      </c>
      <c r="G311" t="str">
        <f>VLOOKUP(B311,[1]Sheet1!B:N,8,0)</f>
        <v>לוונשטיין טכנולוגיות בע"מ</v>
      </c>
      <c r="H311" t="str">
        <f>VLOOKUP(B311,[1]Sheet1!B:N,5,0)</f>
        <v>01.0647</v>
      </c>
    </row>
    <row r="312" spans="1:8" x14ac:dyDescent="0.3">
      <c r="A312" s="2"/>
      <c r="B312" t="s">
        <v>403</v>
      </c>
      <c r="C312">
        <f>VLOOKUP(B312,[1]Sheet1!B:N,9,0)</f>
        <v>0.8</v>
      </c>
      <c r="D312" t="str">
        <f>VLOOKUP(B312,[1]Sheet1!B:N,10,0)</f>
        <v>₪</v>
      </c>
      <c r="E312" s="3">
        <f>VLOOKUP(B312,[1]Sheet1!B:N,6,0)</f>
        <v>45484</v>
      </c>
      <c r="F312">
        <v>1</v>
      </c>
      <c r="G312" t="str">
        <f>VLOOKUP(B312,[1]Sheet1!B:N,8,0)</f>
        <v>דר טכנולוגיות בע"מ</v>
      </c>
      <c r="H312" t="str">
        <f>VLOOKUP(B312,[1]Sheet1!B:N,5,0)</f>
        <v>01.0664</v>
      </c>
    </row>
    <row r="313" spans="1:8" x14ac:dyDescent="0.3">
      <c r="A313" s="2"/>
      <c r="B313" t="s">
        <v>404</v>
      </c>
      <c r="C313">
        <f>VLOOKUP(B313,[1]Sheet1!B:N,9,0)</f>
        <v>0.75</v>
      </c>
      <c r="D313" t="str">
        <f>VLOOKUP(B313,[1]Sheet1!B:N,10,0)</f>
        <v>₪</v>
      </c>
      <c r="E313" s="3">
        <f>VLOOKUP(B313,[1]Sheet1!B:N,6,0)</f>
        <v>45630</v>
      </c>
      <c r="F313">
        <v>1</v>
      </c>
      <c r="G313" t="str">
        <f>VLOOKUP(B313,[1]Sheet1!B:N,8,0)</f>
        <v>לוונשטיין טכנולוגיות בע"מ</v>
      </c>
      <c r="H313" t="str">
        <f>VLOOKUP(B313,[1]Sheet1!B:N,5,0)</f>
        <v>01.0332</v>
      </c>
    </row>
    <row r="314" spans="1:8" x14ac:dyDescent="0.3">
      <c r="A314" s="4"/>
      <c r="B314" t="s">
        <v>405</v>
      </c>
      <c r="C314">
        <f>VLOOKUP(B314,[1]Sheet1!B:N,9,0)</f>
        <v>0.55000000000000004</v>
      </c>
      <c r="D314" t="str">
        <f>VLOOKUP(B314,[1]Sheet1!B:N,10,0)</f>
        <v>₪</v>
      </c>
      <c r="E314" s="3">
        <f>VLOOKUP(B314,[1]Sheet1!B:N,6,0)</f>
        <v>43872</v>
      </c>
      <c r="F314">
        <v>1</v>
      </c>
      <c r="G314" t="str">
        <f>VLOOKUP(B314,[1]Sheet1!B:N,8,0)</f>
        <v>ברמיל בע"מ</v>
      </c>
      <c r="H314" t="str">
        <f>VLOOKUP(B314,[1]Sheet1!B:N,5,0)</f>
        <v>01.0463</v>
      </c>
    </row>
    <row r="315" spans="1:8" x14ac:dyDescent="0.3">
      <c r="A315" s="4"/>
      <c r="B315" t="s">
        <v>406</v>
      </c>
      <c r="C315">
        <f>VLOOKUP(B315,[1]Sheet1!B:N,9,0)</f>
        <v>0.55000000000000004</v>
      </c>
      <c r="D315" t="str">
        <f>VLOOKUP(B315,[1]Sheet1!B:N,10,0)</f>
        <v>₪</v>
      </c>
      <c r="E315" s="3">
        <f>VLOOKUP(B315,[1]Sheet1!B:N,6,0)</f>
        <v>43684</v>
      </c>
      <c r="F315">
        <v>1</v>
      </c>
      <c r="G315" t="str">
        <f>VLOOKUP(B315,[1]Sheet1!B:N,8,0)</f>
        <v>ברמיל בע"מ</v>
      </c>
      <c r="H315" t="str">
        <f>VLOOKUP(B315,[1]Sheet1!B:N,5,0)</f>
        <v>01.0491</v>
      </c>
    </row>
    <row r="316" spans="1:8" x14ac:dyDescent="0.3">
      <c r="A316" s="2"/>
      <c r="B316" t="s">
        <v>407</v>
      </c>
      <c r="C316">
        <f>VLOOKUP(B316,[1]Sheet1!B:N,9,0)</f>
        <v>0.6</v>
      </c>
      <c r="D316" t="str">
        <f>VLOOKUP(B316,[1]Sheet1!B:N,10,0)</f>
        <v>₪</v>
      </c>
      <c r="E316" s="3">
        <f>VLOOKUP(B316,[1]Sheet1!B:N,6,0)</f>
        <v>45966</v>
      </c>
      <c r="F316">
        <v>1</v>
      </c>
      <c r="G316" t="str">
        <f>VLOOKUP(B316,[1]Sheet1!B:N,8,0)</f>
        <v>דר טכנולוגיות בע"מ</v>
      </c>
      <c r="H316" t="str">
        <f>VLOOKUP(B316,[1]Sheet1!B:N,5,0)</f>
        <v>01.0731</v>
      </c>
    </row>
    <row r="317" spans="1:8" x14ac:dyDescent="0.3">
      <c r="A317" s="4"/>
      <c r="B317" t="s">
        <v>408</v>
      </c>
      <c r="C317">
        <f>VLOOKUP(B317,[1]Sheet1!B:N,9,0)</f>
        <v>0.7</v>
      </c>
      <c r="D317" t="str">
        <f>VLOOKUP(B317,[1]Sheet1!B:N,10,0)</f>
        <v>₪</v>
      </c>
      <c r="E317" s="3">
        <f>VLOOKUP(B317,[1]Sheet1!B:N,6,0)</f>
        <v>44693</v>
      </c>
      <c r="F317">
        <v>1</v>
      </c>
      <c r="G317" t="str">
        <f>VLOOKUP(B317,[1]Sheet1!B:N,8,0)</f>
        <v>גין מהנדסים בע"מ</v>
      </c>
      <c r="H317" t="str">
        <f>VLOOKUP(B317,[1]Sheet1!B:N,5,0)</f>
        <v>01.0553</v>
      </c>
    </row>
    <row r="318" spans="1:8" x14ac:dyDescent="0.3">
      <c r="A318" s="4"/>
      <c r="B318" t="s">
        <v>409</v>
      </c>
      <c r="C318">
        <f>VLOOKUP(B318,[1]Sheet1!B:N,9,0)</f>
        <v>0.5</v>
      </c>
      <c r="D318" t="str">
        <f>VLOOKUP(B318,[1]Sheet1!B:N,10,0)</f>
        <v>₪</v>
      </c>
      <c r="E318" s="3">
        <f>VLOOKUP(B318,[1]Sheet1!B:N,6,0)</f>
        <v>44692</v>
      </c>
      <c r="F318">
        <v>1</v>
      </c>
      <c r="G318" t="str">
        <f>VLOOKUP(B318,[1]Sheet1!B:N,8,0)</f>
        <v>דר טכנולוגיות בע"מ</v>
      </c>
      <c r="H318" t="str">
        <f>VLOOKUP(B318,[1]Sheet1!B:N,5,0)</f>
        <v>01.0553</v>
      </c>
    </row>
    <row r="319" spans="1:8" x14ac:dyDescent="0.3">
      <c r="A319" s="4"/>
      <c r="B319" t="s">
        <v>410</v>
      </c>
      <c r="C319">
        <f>VLOOKUP(B319,[1]Sheet1!B:N,9,0)</f>
        <v>5.57</v>
      </c>
      <c r="D319" t="str">
        <f>VLOOKUP(B319,[1]Sheet1!B:N,10,0)</f>
        <v>₪</v>
      </c>
      <c r="E319" s="3">
        <f>VLOOKUP(B319,[1]Sheet1!B:N,6,0)</f>
        <v>43529</v>
      </c>
      <c r="F319">
        <v>1</v>
      </c>
      <c r="G319" t="str">
        <f>VLOOKUP(B319,[1]Sheet1!B:N,8,0)</f>
        <v>ברמיל בע"מ</v>
      </c>
      <c r="H319" t="str">
        <f>VLOOKUP(B319,[1]Sheet1!B:N,5,0)</f>
        <v>01.0471</v>
      </c>
    </row>
    <row r="320" spans="1:8" x14ac:dyDescent="0.3">
      <c r="A320" s="4"/>
      <c r="B320" t="s">
        <v>411</v>
      </c>
      <c r="C320">
        <f>VLOOKUP(B320,[1]Sheet1!B:N,9,0)</f>
        <v>27</v>
      </c>
      <c r="D320" t="str">
        <f>VLOOKUP(B320,[1]Sheet1!B:N,10,0)</f>
        <v>₪</v>
      </c>
      <c r="E320" s="3">
        <f>VLOOKUP(B320,[1]Sheet1!B:N,6,0)</f>
        <v>43541</v>
      </c>
      <c r="F320">
        <v>1</v>
      </c>
      <c r="G320" t="str">
        <f>VLOOKUP(B320,[1]Sheet1!B:N,8,0)</f>
        <v>ברמיל בע"מ</v>
      </c>
      <c r="H320" t="str">
        <f>VLOOKUP(B320,[1]Sheet1!B:N,5,0)</f>
        <v>01.0450</v>
      </c>
    </row>
    <row r="321" spans="1:8" x14ac:dyDescent="0.3">
      <c r="A321" s="2"/>
      <c r="B321" t="s">
        <v>412</v>
      </c>
      <c r="C321">
        <f>VLOOKUP(B321,[1]Sheet1!B:N,9,0)</f>
        <v>0</v>
      </c>
      <c r="D321" t="str">
        <f>VLOOKUP(B321,[1]Sheet1!B:N,10,0)</f>
        <v>₪</v>
      </c>
      <c r="E321" s="3">
        <f>VLOOKUP(B321,[1]Sheet1!B:N,6,0)</f>
        <v>44108</v>
      </c>
      <c r="F321">
        <v>1</v>
      </c>
      <c r="G321" t="str">
        <f>VLOOKUP(B321,[1]Sheet1!B:N,8,0)</f>
        <v>ברמיל בע"מ</v>
      </c>
      <c r="H321" t="str">
        <f>VLOOKUP(B321,[1]Sheet1!B:N,5,0)</f>
        <v>01.0450</v>
      </c>
    </row>
    <row r="322" spans="1:8" x14ac:dyDescent="0.3">
      <c r="A322" s="4"/>
      <c r="B322" t="s">
        <v>413</v>
      </c>
      <c r="C322">
        <f>VLOOKUP(B322,[1]Sheet1!B:N,9,0)</f>
        <v>4</v>
      </c>
      <c r="D322" t="str">
        <f>VLOOKUP(B322,[1]Sheet1!B:N,10,0)</f>
        <v>₪</v>
      </c>
      <c r="E322" s="3">
        <f>VLOOKUP(B322,[1]Sheet1!B:N,6,0)</f>
        <v>43955</v>
      </c>
      <c r="F322">
        <v>1</v>
      </c>
      <c r="G322" t="str">
        <f>VLOOKUP(B322,[1]Sheet1!B:N,8,0)</f>
        <v>גין מהנדסים בע"מ</v>
      </c>
      <c r="H322" t="str">
        <f>VLOOKUP(B322,[1]Sheet1!B:N,5,0)</f>
        <v>01.0508</v>
      </c>
    </row>
    <row r="323" spans="1:8" x14ac:dyDescent="0.3">
      <c r="A323" s="4"/>
      <c r="B323" t="s">
        <v>414</v>
      </c>
      <c r="C323">
        <f>VLOOKUP(B323,[1]Sheet1!B:N,9,0)</f>
        <v>3</v>
      </c>
      <c r="D323" t="str">
        <f>VLOOKUP(B323,[1]Sheet1!B:N,10,0)</f>
        <v>$</v>
      </c>
      <c r="E323" s="3">
        <f>VLOOKUP(B323,[1]Sheet1!B:N,6,0)</f>
        <v>43858</v>
      </c>
      <c r="F323">
        <v>1</v>
      </c>
      <c r="G323" t="str">
        <f>VLOOKUP(B323,[1]Sheet1!B:N,8,0)</f>
        <v>ברמיל בע"מ</v>
      </c>
      <c r="H323" t="str">
        <f>VLOOKUP(B323,[1]Sheet1!B:N,5,0)</f>
        <v>01.0499</v>
      </c>
    </row>
    <row r="324" spans="1:8" x14ac:dyDescent="0.3">
      <c r="A324" s="4"/>
      <c r="B324" t="s">
        <v>415</v>
      </c>
      <c r="C324">
        <f>VLOOKUP(B324,[1]Sheet1!B:N,9,0)</f>
        <v>2.95</v>
      </c>
      <c r="D324" t="str">
        <f>VLOOKUP(B324,[1]Sheet1!B:N,10,0)</f>
        <v>₪</v>
      </c>
      <c r="E324" s="3">
        <f>VLOOKUP(B324,[1]Sheet1!B:N,6,0)</f>
        <v>44070</v>
      </c>
      <c r="F324">
        <v>1</v>
      </c>
      <c r="G324" t="str">
        <f>VLOOKUP(B324,[1]Sheet1!B:N,8,0)</f>
        <v>ברמיל בע"מ</v>
      </c>
      <c r="H324" t="str">
        <f>VLOOKUP(B324,[1]Sheet1!B:N,5,0)</f>
        <v>01.0514</v>
      </c>
    </row>
    <row r="325" spans="1:8" x14ac:dyDescent="0.3">
      <c r="A325" s="4"/>
      <c r="B325" t="s">
        <v>416</v>
      </c>
      <c r="C325">
        <f>VLOOKUP(B325,[1]Sheet1!B:N,9,0)</f>
        <v>5</v>
      </c>
      <c r="D325" t="str">
        <f>VLOOKUP(B325,[1]Sheet1!B:N,10,0)</f>
        <v>₪</v>
      </c>
      <c r="E325" s="3">
        <f>VLOOKUP(B325,[1]Sheet1!B:N,6,0)</f>
        <v>44755</v>
      </c>
      <c r="F325">
        <v>1</v>
      </c>
      <c r="G325" t="str">
        <f>VLOOKUP(B325,[1]Sheet1!B:N,8,0)</f>
        <v>גין מהנדסים בע"מ</v>
      </c>
      <c r="H325" t="str">
        <f>VLOOKUP(B325,[1]Sheet1!B:N,5,0)</f>
        <v>01.0577</v>
      </c>
    </row>
    <row r="326" spans="1:8" x14ac:dyDescent="0.3">
      <c r="A326" s="4"/>
      <c r="B326" t="s">
        <v>417</v>
      </c>
      <c r="C326">
        <f>VLOOKUP(B326,[1]Sheet1!B:N,9,0)</f>
        <v>1</v>
      </c>
      <c r="D326" t="str">
        <f>VLOOKUP(B326,[1]Sheet1!B:N,10,0)</f>
        <v>₪</v>
      </c>
      <c r="E326" s="3">
        <f>VLOOKUP(B326,[1]Sheet1!B:N,6,0)</f>
        <v>43895</v>
      </c>
      <c r="F326">
        <v>1</v>
      </c>
      <c r="G326" t="str">
        <f>VLOOKUP(B326,[1]Sheet1!B:N,8,0)</f>
        <v>דר טכנולוגיות בע"מ</v>
      </c>
      <c r="H326" t="str">
        <f>VLOOKUP(B326,[1]Sheet1!B:N,5,0)</f>
        <v>01.0501</v>
      </c>
    </row>
    <row r="327" spans="1:8" x14ac:dyDescent="0.3">
      <c r="A327" s="4"/>
      <c r="B327" t="s">
        <v>418</v>
      </c>
      <c r="C327">
        <f>VLOOKUP(B327,[1]Sheet1!B:N,9,0)</f>
        <v>0.52</v>
      </c>
      <c r="D327" t="str">
        <f>VLOOKUP(B327,[1]Sheet1!B:N,10,0)</f>
        <v>₪</v>
      </c>
      <c r="E327" s="3">
        <f>VLOOKUP(B327,[1]Sheet1!B:N,6,0)</f>
        <v>45033</v>
      </c>
      <c r="F327">
        <v>1</v>
      </c>
      <c r="G327" t="str">
        <f>VLOOKUP(B327,[1]Sheet1!B:N,8,0)</f>
        <v>לוונשטיין טכנולוגיות בע"מ</v>
      </c>
      <c r="H327" t="str">
        <f>VLOOKUP(B327,[1]Sheet1!B:N,5,0)</f>
        <v>01.0601</v>
      </c>
    </row>
    <row r="328" spans="1:8" x14ac:dyDescent="0.3">
      <c r="A328" s="4"/>
      <c r="B328" t="s">
        <v>419</v>
      </c>
      <c r="C328">
        <f>VLOOKUP(B328,[1]Sheet1!B:N,9,0)</f>
        <v>1.1000000000000001</v>
      </c>
      <c r="D328" t="str">
        <f>VLOOKUP(B328,[1]Sheet1!B:N,10,0)</f>
        <v>₪</v>
      </c>
      <c r="E328" s="3">
        <f>VLOOKUP(B328,[1]Sheet1!B:N,6,0)</f>
        <v>45445</v>
      </c>
      <c r="F328">
        <v>1</v>
      </c>
      <c r="G328" t="str">
        <f>VLOOKUP(B328,[1]Sheet1!B:N,8,0)</f>
        <v>לוונשטיין טכנולוגיות בע"מ</v>
      </c>
      <c r="H328" t="str">
        <f>VLOOKUP(B328,[1]Sheet1!B:N,5,0)</f>
        <v>01.0658</v>
      </c>
    </row>
    <row r="329" spans="1:8" x14ac:dyDescent="0.3">
      <c r="A329" s="2"/>
      <c r="B329" t="s">
        <v>420</v>
      </c>
      <c r="C329">
        <f>VLOOKUP(B329,[1]Sheet1!B:N,9,0)</f>
        <v>0.7</v>
      </c>
      <c r="D329" t="str">
        <f>VLOOKUP(B329,[1]Sheet1!B:N,10,0)</f>
        <v>₪</v>
      </c>
      <c r="E329" s="3">
        <f>VLOOKUP(B329,[1]Sheet1!B:N,6,0)</f>
        <v>45553</v>
      </c>
      <c r="F329">
        <v>1</v>
      </c>
      <c r="G329" t="str">
        <f>VLOOKUP(B329,[1]Sheet1!B:N,8,0)</f>
        <v>דר טכנולוגיות בע"מ</v>
      </c>
      <c r="H329" t="str">
        <f>VLOOKUP(B329,[1]Sheet1!B:N,5,0)</f>
        <v>01.0677</v>
      </c>
    </row>
    <row r="330" spans="1:8" x14ac:dyDescent="0.3">
      <c r="A330" s="2"/>
      <c r="B330" t="s">
        <v>421</v>
      </c>
      <c r="C330">
        <f>VLOOKUP(B330,[1]Sheet1!B:N,9,0)</f>
        <v>2.6</v>
      </c>
      <c r="D330" t="str">
        <f>VLOOKUP(B330,[1]Sheet1!B:N,10,0)</f>
        <v>₪</v>
      </c>
      <c r="E330" s="3">
        <f>VLOOKUP(B330,[1]Sheet1!B:N,6,0)</f>
        <v>43968</v>
      </c>
      <c r="F330">
        <v>1</v>
      </c>
      <c r="G330" t="str">
        <f>VLOOKUP(B330,[1]Sheet1!B:N,8,0)</f>
        <v>לוונשטיין טכנולוגיות</v>
      </c>
      <c r="H330" t="str">
        <f>VLOOKUP(B330,[1]Sheet1!B:N,5,0)</f>
        <v>01.0511</v>
      </c>
    </row>
    <row r="331" spans="1:8" x14ac:dyDescent="0.3">
      <c r="A331" s="4"/>
      <c r="B331" t="s">
        <v>422</v>
      </c>
      <c r="C331">
        <f>VLOOKUP(B331,[1]Sheet1!B:N,9,0)</f>
        <v>0</v>
      </c>
      <c r="D331" t="str">
        <f>VLOOKUP(B331,[1]Sheet1!B:N,10,0)</f>
        <v>₪</v>
      </c>
      <c r="E331" s="3">
        <f>VLOOKUP(B331,[1]Sheet1!B:N,6,0)</f>
        <v>41603</v>
      </c>
      <c r="F331">
        <v>1</v>
      </c>
      <c r="G331" t="str">
        <f>VLOOKUP(B331,[1]Sheet1!B:N,8,0)</f>
        <v>לוונשטיין טכנולוגיות</v>
      </c>
      <c r="H331" t="str">
        <f>VLOOKUP(B331,[1]Sheet1!B:N,5,0)</f>
        <v>01.0044</v>
      </c>
    </row>
    <row r="332" spans="1:8" x14ac:dyDescent="0.3">
      <c r="A332" s="4"/>
      <c r="B332" t="s">
        <v>423</v>
      </c>
      <c r="C332">
        <f>VLOOKUP(B332,[1]Sheet1!B:N,9,0)</f>
        <v>1.2</v>
      </c>
      <c r="D332" t="str">
        <f>VLOOKUP(B332,[1]Sheet1!B:N,10,0)</f>
        <v>₪</v>
      </c>
      <c r="E332" s="3">
        <f>VLOOKUP(B332,[1]Sheet1!B:N,6,0)</f>
        <v>45769</v>
      </c>
      <c r="F332">
        <v>1</v>
      </c>
      <c r="G332" t="str">
        <f>VLOOKUP(B332,[1]Sheet1!B:N,8,0)</f>
        <v>גין מהנדסים בע"מ</v>
      </c>
      <c r="H332" t="str">
        <f>VLOOKUP(B332,[1]Sheet1!B:N,5,0)</f>
        <v>01.0414</v>
      </c>
    </row>
    <row r="333" spans="1:8" x14ac:dyDescent="0.3">
      <c r="A333" s="4"/>
      <c r="B333" t="s">
        <v>424</v>
      </c>
      <c r="C333">
        <f>VLOOKUP(B333,[1]Sheet1!B:N,9,0)</f>
        <v>1.1000000000000001</v>
      </c>
      <c r="D333" t="str">
        <f>VLOOKUP(B333,[1]Sheet1!B:N,10,0)</f>
        <v>₪</v>
      </c>
      <c r="E333" s="3">
        <f>VLOOKUP(B333,[1]Sheet1!B:N,6,0)</f>
        <v>45341</v>
      </c>
      <c r="F333">
        <v>1</v>
      </c>
      <c r="G333" t="str">
        <f>VLOOKUP(B333,[1]Sheet1!B:N,8,0)</f>
        <v>לוונשטיין טכנולוגיות בע"מ</v>
      </c>
      <c r="H333" t="str">
        <f>VLOOKUP(B333,[1]Sheet1!B:N,5,0)</f>
        <v>01.0286</v>
      </c>
    </row>
    <row r="334" spans="1:8" x14ac:dyDescent="0.3">
      <c r="A334" s="4"/>
      <c r="B334" t="s">
        <v>425</v>
      </c>
      <c r="C334">
        <f>VLOOKUP(B334,[1]Sheet1!B:N,9,0)</f>
        <v>2.2000000000000002</v>
      </c>
      <c r="D334" t="str">
        <f>VLOOKUP(B334,[1]Sheet1!B:N,10,0)</f>
        <v>₪</v>
      </c>
      <c r="E334" s="3">
        <f>VLOOKUP(B334,[1]Sheet1!B:N,6,0)</f>
        <v>44657</v>
      </c>
      <c r="F334">
        <v>1</v>
      </c>
      <c r="G334" t="str">
        <f>VLOOKUP(B334,[1]Sheet1!B:N,8,0)</f>
        <v>לוונשטיין טכנולוגיות בע"מ</v>
      </c>
      <c r="H334" t="str">
        <f>VLOOKUP(B334,[1]Sheet1!B:N,5,0)</f>
        <v>01.0156</v>
      </c>
    </row>
    <row r="335" spans="1:8" x14ac:dyDescent="0.3">
      <c r="A335" s="4"/>
      <c r="B335" t="s">
        <v>426</v>
      </c>
      <c r="C335">
        <f>VLOOKUP(B335,[1]Sheet1!B:N,9,0)</f>
        <v>6</v>
      </c>
      <c r="D335" t="str">
        <f>VLOOKUP(B335,[1]Sheet1!B:N,10,0)</f>
        <v>₪</v>
      </c>
      <c r="E335" s="3">
        <f>VLOOKUP(B335,[1]Sheet1!B:N,6,0)</f>
        <v>45728</v>
      </c>
      <c r="F335">
        <v>1</v>
      </c>
      <c r="G335" t="str">
        <f>VLOOKUP(B335,[1]Sheet1!B:N,8,0)</f>
        <v>גין מהנדסים בע"מ</v>
      </c>
      <c r="H335" t="str">
        <f>VLOOKUP(B335,[1]Sheet1!B:N,5,0)</f>
        <v>01.0192</v>
      </c>
    </row>
    <row r="336" spans="1:8" x14ac:dyDescent="0.3">
      <c r="A336" s="4"/>
      <c r="B336" t="s">
        <v>427</v>
      </c>
      <c r="C336">
        <f>VLOOKUP(B336,[1]Sheet1!B:N,9,0)</f>
        <v>0</v>
      </c>
      <c r="D336" t="str">
        <f>VLOOKUP(B336,[1]Sheet1!B:N,10,0)</f>
        <v>₪</v>
      </c>
      <c r="E336" s="3">
        <f>VLOOKUP(B336,[1]Sheet1!B:N,6,0)</f>
        <v>41479</v>
      </c>
      <c r="F336">
        <v>1</v>
      </c>
      <c r="G336" t="str">
        <f>VLOOKUP(B336,[1]Sheet1!B:N,8,0)</f>
        <v>לוונשטיין טכנולוגיות</v>
      </c>
      <c r="H336" t="str">
        <f>VLOOKUP(B336,[1]Sheet1!B:N,5,0)</f>
        <v>01.0103</v>
      </c>
    </row>
    <row r="337" spans="1:8" x14ac:dyDescent="0.3">
      <c r="A337" s="2"/>
      <c r="B337" t="s">
        <v>428</v>
      </c>
      <c r="C337">
        <f>VLOOKUP(B337,[1]Sheet1!B:N,9,0)</f>
        <v>1.9</v>
      </c>
      <c r="D337" t="str">
        <f>VLOOKUP(B337,[1]Sheet1!B:N,10,0)</f>
        <v>₪</v>
      </c>
      <c r="E337" s="3">
        <f>VLOOKUP(B337,[1]Sheet1!B:N,6,0)</f>
        <v>45235</v>
      </c>
      <c r="F337">
        <v>1</v>
      </c>
      <c r="G337" t="str">
        <f>VLOOKUP(B337,[1]Sheet1!B:N,8,0)</f>
        <v>לוונשטיין טכנולוגיות בע"מ</v>
      </c>
      <c r="H337" t="str">
        <f>VLOOKUP(B337,[1]Sheet1!B:N,5,0)</f>
        <v>01.0620</v>
      </c>
    </row>
    <row r="338" spans="1:8" x14ac:dyDescent="0.3">
      <c r="A338" s="4"/>
      <c r="B338" t="s">
        <v>429</v>
      </c>
      <c r="C338">
        <f>VLOOKUP(B338,[1]Sheet1!B:N,9,0)</f>
        <v>490</v>
      </c>
      <c r="D338" t="str">
        <f>VLOOKUP(B338,[1]Sheet1!B:N,10,0)</f>
        <v>₪</v>
      </c>
      <c r="E338" s="3">
        <f>VLOOKUP(B338,[1]Sheet1!B:N,6,0)</f>
        <v>44916</v>
      </c>
      <c r="F338">
        <v>1</v>
      </c>
      <c r="G338" t="str">
        <f>VLOOKUP(B338,[1]Sheet1!B:N,8,0)</f>
        <v>לוונשטיין טכנולוגיות בע"מ</v>
      </c>
      <c r="H338" t="str">
        <f>VLOOKUP(B338,[1]Sheet1!B:N,5,0)</f>
        <v>01.0149</v>
      </c>
    </row>
    <row r="339" spans="1:8" x14ac:dyDescent="0.3">
      <c r="A339" s="4"/>
      <c r="B339" t="s">
        <v>430</v>
      </c>
      <c r="C339">
        <f>VLOOKUP(B339,[1]Sheet1!B:N,9,0)</f>
        <v>2.5</v>
      </c>
      <c r="D339" t="str">
        <f>VLOOKUP(B339,[1]Sheet1!B:N,10,0)</f>
        <v>₪</v>
      </c>
      <c r="E339" s="3">
        <f>VLOOKUP(B339,[1]Sheet1!B:N,6,0)</f>
        <v>44797</v>
      </c>
      <c r="F339">
        <v>1</v>
      </c>
      <c r="G339" t="str">
        <f>VLOOKUP(B339,[1]Sheet1!B:N,8,0)</f>
        <v>גין מהנדסים בע"מ</v>
      </c>
      <c r="H339" t="str">
        <f>VLOOKUP(B339,[1]Sheet1!B:N,5,0)</f>
        <v>01.0563</v>
      </c>
    </row>
    <row r="340" spans="1:8" x14ac:dyDescent="0.3">
      <c r="A340" s="4"/>
      <c r="B340" t="s">
        <v>431</v>
      </c>
      <c r="C340">
        <f>VLOOKUP(B340,[1]Sheet1!B:N,9,0)</f>
        <v>0</v>
      </c>
      <c r="D340" t="str">
        <f>VLOOKUP(B340,[1]Sheet1!B:N,10,0)</f>
        <v>₪</v>
      </c>
      <c r="E340" s="3">
        <f>VLOOKUP(B340,[1]Sheet1!B:N,6,0)</f>
        <v>43104</v>
      </c>
      <c r="F340">
        <v>1</v>
      </c>
      <c r="G340" t="str">
        <f>VLOOKUP(B340,[1]Sheet1!B:N,8,0)</f>
        <v>גין מהנדסים בע"מ</v>
      </c>
      <c r="H340" t="str">
        <f>VLOOKUP(B340,[1]Sheet1!B:N,5,0)</f>
        <v>01.0344</v>
      </c>
    </row>
    <row r="341" spans="1:8" x14ac:dyDescent="0.3">
      <c r="A341" s="4"/>
      <c r="B341" t="s">
        <v>432</v>
      </c>
      <c r="C341">
        <f>VLOOKUP(B341,[1]Sheet1!B:N,9,0)</f>
        <v>0</v>
      </c>
      <c r="D341" t="str">
        <f>VLOOKUP(B341,[1]Sheet1!B:N,10,0)</f>
        <v>₪</v>
      </c>
      <c r="E341" s="3">
        <f>VLOOKUP(B341,[1]Sheet1!B:N,6,0)</f>
        <v>43369</v>
      </c>
      <c r="F341">
        <v>1</v>
      </c>
      <c r="G341" t="str">
        <f>VLOOKUP(B341,[1]Sheet1!B:N,8,0)</f>
        <v>גין מהנדסים בע"מ</v>
      </c>
      <c r="H341" t="str">
        <f>VLOOKUP(B341,[1]Sheet1!B:N,5,0)</f>
        <v>01.0458</v>
      </c>
    </row>
    <row r="342" spans="1:8" x14ac:dyDescent="0.3">
      <c r="A342" s="4"/>
      <c r="B342" t="s">
        <v>433</v>
      </c>
      <c r="C342">
        <f>VLOOKUP(B342,[1]Sheet1!B:N,9,0)</f>
        <v>0.7</v>
      </c>
      <c r="D342" t="str">
        <f>VLOOKUP(B342,[1]Sheet1!B:N,10,0)</f>
        <v>₪</v>
      </c>
      <c r="E342" s="3">
        <f>VLOOKUP(B342,[1]Sheet1!B:N,6,0)</f>
        <v>45384</v>
      </c>
      <c r="F342">
        <v>1</v>
      </c>
      <c r="G342" t="str">
        <f>VLOOKUP(B342,[1]Sheet1!B:N,8,0)</f>
        <v>דר טכנולוגיות בע"מ</v>
      </c>
      <c r="H342" t="str">
        <f>VLOOKUP(B342,[1]Sheet1!B:N,5,0)</f>
        <v>01.0651</v>
      </c>
    </row>
    <row r="343" spans="1:8" x14ac:dyDescent="0.3">
      <c r="A343" s="2"/>
      <c r="B343" t="s">
        <v>434</v>
      </c>
      <c r="C343">
        <f>VLOOKUP(B343,[1]Sheet1!B:N,9,0)</f>
        <v>12.947800000000001</v>
      </c>
      <c r="D343" t="str">
        <f>VLOOKUP(B343,[1]Sheet1!B:N,10,0)</f>
        <v>₪</v>
      </c>
      <c r="E343" s="3">
        <f>VLOOKUP(B343,[1]Sheet1!B:N,6,0)</f>
        <v>43093</v>
      </c>
      <c r="F343">
        <v>1</v>
      </c>
      <c r="G343" t="str">
        <f>VLOOKUP(B343,[1]Sheet1!B:N,8,0)</f>
        <v>גין מהנדסים בע"מ</v>
      </c>
      <c r="H343" t="str">
        <f>VLOOKUP(B343,[1]Sheet1!B:N,5,0)</f>
        <v>01.0207</v>
      </c>
    </row>
    <row r="344" spans="1:8" x14ac:dyDescent="0.3">
      <c r="A344" s="2"/>
      <c r="B344" t="s">
        <v>435</v>
      </c>
      <c r="C344">
        <f>VLOOKUP(B344,[1]Sheet1!B:N,9,0)</f>
        <v>6.8</v>
      </c>
      <c r="D344" t="str">
        <f>VLOOKUP(B344,[1]Sheet1!B:N,10,0)</f>
        <v>₪</v>
      </c>
      <c r="E344" s="3">
        <f>VLOOKUP(B344,[1]Sheet1!B:N,6,0)</f>
        <v>44893</v>
      </c>
      <c r="F344">
        <v>1</v>
      </c>
      <c r="G344" t="str">
        <f>VLOOKUP(B344,[1]Sheet1!B:N,8,0)</f>
        <v>לוונשטיין טכנולוגיות בע"מ</v>
      </c>
      <c r="H344" t="str">
        <f>VLOOKUP(B344,[1]Sheet1!B:N,5,0)</f>
        <v>01.0323</v>
      </c>
    </row>
    <row r="345" spans="1:8" x14ac:dyDescent="0.3">
      <c r="A345" s="4"/>
      <c r="B345" t="s">
        <v>436</v>
      </c>
      <c r="C345">
        <f>VLOOKUP(B345,[1]Sheet1!B:N,9,0)</f>
        <v>12.5</v>
      </c>
      <c r="D345" t="str">
        <f>VLOOKUP(B345,[1]Sheet1!B:N,10,0)</f>
        <v>₪</v>
      </c>
      <c r="E345" s="3">
        <f>VLOOKUP(B345,[1]Sheet1!B:N,6,0)</f>
        <v>45329</v>
      </c>
      <c r="F345">
        <v>1</v>
      </c>
      <c r="G345" t="str">
        <f>VLOOKUP(B345,[1]Sheet1!B:N,8,0)</f>
        <v>גין מהנדסים בע"מ</v>
      </c>
      <c r="H345" t="str">
        <f>VLOOKUP(B345,[1]Sheet1!B:N,5,0)</f>
        <v>01.0643</v>
      </c>
    </row>
    <row r="346" spans="1:8" x14ac:dyDescent="0.3">
      <c r="A346" s="2"/>
      <c r="B346" t="s">
        <v>437</v>
      </c>
      <c r="C346">
        <f>VLOOKUP(B346,[1]Sheet1!B:N,9,0)</f>
        <v>143.5</v>
      </c>
      <c r="D346" t="str">
        <f>VLOOKUP(B346,[1]Sheet1!B:N,10,0)</f>
        <v>₪</v>
      </c>
      <c r="E346" s="3">
        <f>VLOOKUP(B346,[1]Sheet1!B:N,6,0)</f>
        <v>45046</v>
      </c>
      <c r="F346">
        <v>1</v>
      </c>
      <c r="G346" t="str">
        <f>VLOOKUP(B346,[1]Sheet1!B:N,8,0)</f>
        <v>גין מהנדסים בע"מ</v>
      </c>
      <c r="H346" t="str">
        <f>VLOOKUP(B346,[1]Sheet1!B:N,5,0)</f>
        <v>01.0604</v>
      </c>
    </row>
    <row r="347" spans="1:8" x14ac:dyDescent="0.3">
      <c r="A347" s="2"/>
      <c r="B347" t="s">
        <v>438</v>
      </c>
      <c r="C347">
        <f>VLOOKUP(B347,[1]Sheet1!B:N,9,0)</f>
        <v>3</v>
      </c>
      <c r="D347" t="str">
        <f>VLOOKUP(B347,[1]Sheet1!B:N,10,0)</f>
        <v>₪</v>
      </c>
      <c r="E347" s="3">
        <f>VLOOKUP(B347,[1]Sheet1!B:N,6,0)</f>
        <v>43671</v>
      </c>
      <c r="F347">
        <v>1</v>
      </c>
      <c r="G347" t="str">
        <f>VLOOKUP(B347,[1]Sheet1!B:N,8,0)</f>
        <v>גין מהנדסים בע"מ</v>
      </c>
      <c r="H347" t="str">
        <f>VLOOKUP(B347,[1]Sheet1!B:N,5,0)</f>
        <v>01.0486</v>
      </c>
    </row>
    <row r="348" spans="1:8" x14ac:dyDescent="0.3">
      <c r="A348" s="4"/>
      <c r="B348" t="s">
        <v>439</v>
      </c>
      <c r="C348">
        <f>VLOOKUP(B348,[1]Sheet1!B:N,9,0)</f>
        <v>16</v>
      </c>
      <c r="D348" t="str">
        <f>VLOOKUP(B348,[1]Sheet1!B:N,10,0)</f>
        <v>₪</v>
      </c>
      <c r="E348" s="3">
        <f>VLOOKUP(B348,[1]Sheet1!B:N,6,0)</f>
        <v>43671</v>
      </c>
      <c r="F348">
        <v>1</v>
      </c>
      <c r="G348" t="str">
        <f>VLOOKUP(B348,[1]Sheet1!B:N,8,0)</f>
        <v>גין מהנדסים בע"מ</v>
      </c>
      <c r="H348" t="str">
        <f>VLOOKUP(B348,[1]Sheet1!B:N,5,0)</f>
        <v>01.0487</v>
      </c>
    </row>
    <row r="349" spans="1:8" x14ac:dyDescent="0.3">
      <c r="A349" s="4"/>
      <c r="B349" t="s">
        <v>440</v>
      </c>
      <c r="C349">
        <f>VLOOKUP(B349,[1]Sheet1!B:N,9,0)</f>
        <v>14.5</v>
      </c>
      <c r="D349" t="str">
        <f>VLOOKUP(B349,[1]Sheet1!B:N,10,0)</f>
        <v>₪</v>
      </c>
      <c r="E349" s="3">
        <f>VLOOKUP(B349,[1]Sheet1!B:N,6,0)</f>
        <v>44875</v>
      </c>
      <c r="F349">
        <v>1</v>
      </c>
      <c r="G349" t="str">
        <f>VLOOKUP(B349,[1]Sheet1!B:N,8,0)</f>
        <v>לוונשטיין טכנולוגיות בע"מ</v>
      </c>
      <c r="H349" t="str">
        <f>VLOOKUP(B349,[1]Sheet1!B:N,5,0)</f>
        <v>01.0597</v>
      </c>
    </row>
    <row r="350" spans="1:8" x14ac:dyDescent="0.3">
      <c r="A350" s="2"/>
      <c r="B350" t="s">
        <v>441</v>
      </c>
      <c r="C350">
        <f>VLOOKUP(B350,[1]Sheet1!B:N,9,0)</f>
        <v>14.5</v>
      </c>
      <c r="D350" t="str">
        <f>VLOOKUP(B350,[1]Sheet1!B:N,10,0)</f>
        <v>₪</v>
      </c>
      <c r="E350" s="3">
        <f>VLOOKUP(B350,[1]Sheet1!B:N,6,0)</f>
        <v>44875</v>
      </c>
      <c r="F350">
        <v>1</v>
      </c>
      <c r="G350" t="str">
        <f>VLOOKUP(B350,[1]Sheet1!B:N,8,0)</f>
        <v>לוונשטיין טכנולוגיות בע"מ</v>
      </c>
      <c r="H350" t="str">
        <f>VLOOKUP(B350,[1]Sheet1!B:N,5,0)</f>
        <v>01.0598</v>
      </c>
    </row>
    <row r="351" spans="1:8" x14ac:dyDescent="0.3">
      <c r="A351" s="2"/>
      <c r="B351" t="s">
        <v>442</v>
      </c>
      <c r="C351">
        <f>VLOOKUP(B351,[1]Sheet1!B:N,9,0)</f>
        <v>14.5</v>
      </c>
      <c r="D351" t="str">
        <f>VLOOKUP(B351,[1]Sheet1!B:N,10,0)</f>
        <v>₪</v>
      </c>
      <c r="E351" s="3">
        <f>VLOOKUP(B351,[1]Sheet1!B:N,6,0)</f>
        <v>44875</v>
      </c>
      <c r="F351">
        <v>1</v>
      </c>
      <c r="G351" t="str">
        <f>VLOOKUP(B351,[1]Sheet1!B:N,8,0)</f>
        <v>לוונשטיין טכנולוגיות בע"מ</v>
      </c>
      <c r="H351" t="str">
        <f>VLOOKUP(B351,[1]Sheet1!B:N,5,0)</f>
        <v>01.0595</v>
      </c>
    </row>
    <row r="352" spans="1:8" x14ac:dyDescent="0.3">
      <c r="A352" s="4"/>
      <c r="B352" t="s">
        <v>443</v>
      </c>
      <c r="C352">
        <f>VLOOKUP(B352,[1]Sheet1!B:N,9,0)</f>
        <v>14.5</v>
      </c>
      <c r="D352" t="str">
        <f>VLOOKUP(B352,[1]Sheet1!B:N,10,0)</f>
        <v>₪</v>
      </c>
      <c r="E352" s="3">
        <f>VLOOKUP(B352,[1]Sheet1!B:N,6,0)</f>
        <v>44875</v>
      </c>
      <c r="F352">
        <v>1</v>
      </c>
      <c r="G352" t="str">
        <f>VLOOKUP(B352,[1]Sheet1!B:N,8,0)</f>
        <v>לוונשטיין טכנולוגיות בע"מ</v>
      </c>
      <c r="H352" t="str">
        <f>VLOOKUP(B352,[1]Sheet1!B:N,5,0)</f>
        <v>01.0596</v>
      </c>
    </row>
    <row r="353" spans="1:8" x14ac:dyDescent="0.3">
      <c r="A353" s="4"/>
      <c r="B353" t="s">
        <v>444</v>
      </c>
      <c r="C353">
        <f>VLOOKUP(B353,[1]Sheet1!B:N,9,0)</f>
        <v>14.5</v>
      </c>
      <c r="D353" t="str">
        <f>VLOOKUP(B353,[1]Sheet1!B:N,10,0)</f>
        <v>₪</v>
      </c>
      <c r="E353" s="3">
        <f>VLOOKUP(B353,[1]Sheet1!B:N,6,0)</f>
        <v>44875</v>
      </c>
      <c r="F353">
        <v>1</v>
      </c>
      <c r="G353" t="str">
        <f>VLOOKUP(B353,[1]Sheet1!B:N,8,0)</f>
        <v>לוונשטיין טכנולוגיות בע"מ</v>
      </c>
      <c r="H353" t="str">
        <f>VLOOKUP(B353,[1]Sheet1!B:N,5,0)</f>
        <v>01.0594</v>
      </c>
    </row>
    <row r="354" spans="1:8" x14ac:dyDescent="0.3">
      <c r="A354" s="2"/>
      <c r="B354" t="s">
        <v>445</v>
      </c>
      <c r="C354">
        <f>VLOOKUP(B354,[1]Sheet1!B:N,9,0)</f>
        <v>3.4</v>
      </c>
      <c r="D354" t="str">
        <f>VLOOKUP(B354,[1]Sheet1!B:N,10,0)</f>
        <v>₪</v>
      </c>
      <c r="E354" s="3">
        <f>VLOOKUP(B354,[1]Sheet1!B:N,6,0)</f>
        <v>44768</v>
      </c>
      <c r="F354">
        <v>1</v>
      </c>
      <c r="G354" t="str">
        <f>VLOOKUP(B354,[1]Sheet1!B:N,8,0)</f>
        <v>לוונשטיין טכנולוגיות בע"מ</v>
      </c>
      <c r="H354" t="str">
        <f>VLOOKUP(B354,[1]Sheet1!B:N,5,0)</f>
        <v>01.0579</v>
      </c>
    </row>
    <row r="355" spans="1:8" x14ac:dyDescent="0.3">
      <c r="A355" s="4"/>
      <c r="B355" t="s">
        <v>446</v>
      </c>
      <c r="C355">
        <f>VLOOKUP(B355,[1]Sheet1!B:N,9,0)</f>
        <v>470.4</v>
      </c>
      <c r="D355" t="str">
        <f>VLOOKUP(B355,[1]Sheet1!B:N,10,0)</f>
        <v>₪</v>
      </c>
      <c r="E355" s="3">
        <f>VLOOKUP(B355,[1]Sheet1!B:N,6,0)</f>
        <v>45697</v>
      </c>
      <c r="F355">
        <v>1</v>
      </c>
      <c r="G355" t="str">
        <f>VLOOKUP(B355,[1]Sheet1!B:N,8,0)</f>
        <v>לוונשטיין טכנולוגיות בע"מ</v>
      </c>
      <c r="H355" t="str">
        <f>VLOOKUP(B355,[1]Sheet1!B:N,5,0)</f>
        <v>01.0701</v>
      </c>
    </row>
    <row r="356" spans="1:8" x14ac:dyDescent="0.3">
      <c r="A356" s="4"/>
      <c r="B356" t="s">
        <v>447</v>
      </c>
      <c r="C356">
        <f>VLOOKUP(B356,[1]Sheet1!B:N,9,0)</f>
        <v>750</v>
      </c>
      <c r="D356" t="str">
        <f>VLOOKUP(B356,[1]Sheet1!B:N,10,0)</f>
        <v>₪</v>
      </c>
      <c r="E356" s="3">
        <f>VLOOKUP(B356,[1]Sheet1!B:N,6,0)</f>
        <v>45622</v>
      </c>
      <c r="F356">
        <v>1</v>
      </c>
      <c r="G356" t="str">
        <f>VLOOKUP(B356,[1]Sheet1!B:N,8,0)</f>
        <v>לוונשטיין טכנולוגיות בע"מ</v>
      </c>
      <c r="H356" t="str">
        <f>VLOOKUP(B356,[1]Sheet1!B:N,5,0)</f>
        <v>01.0694</v>
      </c>
    </row>
    <row r="357" spans="1:8" x14ac:dyDescent="0.3">
      <c r="A357" s="4"/>
      <c r="B357" t="s">
        <v>448</v>
      </c>
      <c r="C357">
        <f>VLOOKUP(B357,[1]Sheet1!B:N,9,0)</f>
        <v>85</v>
      </c>
      <c r="D357" t="str">
        <f>VLOOKUP(B357,[1]Sheet1!B:N,10,0)</f>
        <v>₪</v>
      </c>
      <c r="E357" s="3">
        <f>VLOOKUP(B357,[1]Sheet1!B:N,6,0)</f>
        <v>44439</v>
      </c>
      <c r="F357">
        <v>1</v>
      </c>
      <c r="G357" t="str">
        <f>VLOOKUP(B357,[1]Sheet1!B:N,8,0)</f>
        <v>לוונשטיין טכנולוגיות</v>
      </c>
      <c r="H357" t="str">
        <f>VLOOKUP(B357,[1]Sheet1!B:N,5,0)</f>
        <v>01.0549</v>
      </c>
    </row>
    <row r="358" spans="1:8" x14ac:dyDescent="0.3">
      <c r="A358" s="2"/>
      <c r="B358" t="s">
        <v>449</v>
      </c>
      <c r="C358">
        <f>VLOOKUP(B358,[1]Sheet1!B:N,9,0)</f>
        <v>110</v>
      </c>
      <c r="D358" t="str">
        <f>VLOOKUP(B358,[1]Sheet1!B:N,10,0)</f>
        <v>₪</v>
      </c>
      <c r="E358" s="3">
        <f>VLOOKUP(B358,[1]Sheet1!B:N,6,0)</f>
        <v>44439</v>
      </c>
      <c r="F358">
        <v>1</v>
      </c>
      <c r="G358" t="str">
        <f>VLOOKUP(B358,[1]Sheet1!B:N,8,0)</f>
        <v>לוונשטיין טכנולוגיות</v>
      </c>
      <c r="H358" t="str">
        <f>VLOOKUP(B358,[1]Sheet1!B:N,5,0)</f>
        <v>01.0550</v>
      </c>
    </row>
    <row r="359" spans="1:8" x14ac:dyDescent="0.3">
      <c r="A359" s="4"/>
      <c r="B359" t="s">
        <v>450</v>
      </c>
      <c r="C359">
        <f>VLOOKUP(B359,[1]Sheet1!B:N,9,0)</f>
        <v>80</v>
      </c>
      <c r="D359" t="str">
        <f>VLOOKUP(B359,[1]Sheet1!B:N,10,0)</f>
        <v>₪</v>
      </c>
      <c r="E359" s="3">
        <f>VLOOKUP(B359,[1]Sheet1!B:N,6,0)</f>
        <v>44439</v>
      </c>
      <c r="F359">
        <v>1</v>
      </c>
      <c r="G359" t="str">
        <f>VLOOKUP(B359,[1]Sheet1!B:N,8,0)</f>
        <v>לוונשטיין טכנולוגיות</v>
      </c>
      <c r="H359" t="str">
        <f>VLOOKUP(B359,[1]Sheet1!B:N,5,0)</f>
        <v>01.0548</v>
      </c>
    </row>
    <row r="360" spans="1:8" x14ac:dyDescent="0.3">
      <c r="A360" s="2"/>
      <c r="B360" t="s">
        <v>451</v>
      </c>
      <c r="C360">
        <f>VLOOKUP(B360,[1]Sheet1!B:N,9,0)</f>
        <v>0</v>
      </c>
      <c r="D360" t="str">
        <f>VLOOKUP(B360,[1]Sheet1!B:N,10,0)</f>
        <v>₪</v>
      </c>
      <c r="E360" s="3">
        <f>VLOOKUP(B360,[1]Sheet1!B:N,6,0)</f>
        <v>41995</v>
      </c>
      <c r="F360">
        <v>1</v>
      </c>
      <c r="G360" t="str">
        <f>VLOOKUP(B360,[1]Sheet1!B:N,8,0)</f>
        <v>לוונשטיין טכנולוגיות</v>
      </c>
      <c r="H360" t="str">
        <f>VLOOKUP(B360,[1]Sheet1!B:N,5,0)</f>
        <v>01.0214</v>
      </c>
    </row>
    <row r="361" spans="1:8" x14ac:dyDescent="0.3">
      <c r="A361" s="4"/>
      <c r="B361" t="s">
        <v>452</v>
      </c>
      <c r="C361">
        <f>VLOOKUP(B361,[1]Sheet1!B:N,9,0)</f>
        <v>490</v>
      </c>
      <c r="D361" t="str">
        <f>VLOOKUP(B361,[1]Sheet1!B:N,10,0)</f>
        <v>₪</v>
      </c>
      <c r="E361" s="3">
        <f>VLOOKUP(B361,[1]Sheet1!B:N,6,0)</f>
        <v>45180</v>
      </c>
      <c r="F361">
        <v>1</v>
      </c>
      <c r="G361" t="str">
        <f>VLOOKUP(B361,[1]Sheet1!B:N,8,0)</f>
        <v>דר טכנולוגיות בע"מ</v>
      </c>
      <c r="H361" t="str">
        <f>VLOOKUP(B361,[1]Sheet1!B:N,5,0)</f>
        <v>01.0613</v>
      </c>
    </row>
    <row r="362" spans="1:8" x14ac:dyDescent="0.3">
      <c r="A362" s="4"/>
      <c r="B362" t="s">
        <v>453</v>
      </c>
      <c r="C362">
        <f>VLOOKUP(B362,[1]Sheet1!B:N,9,0)</f>
        <v>490</v>
      </c>
      <c r="D362" t="str">
        <f>VLOOKUP(B362,[1]Sheet1!B:N,10,0)</f>
        <v>₪</v>
      </c>
      <c r="E362" s="3">
        <f>VLOOKUP(B362,[1]Sheet1!B:N,6,0)</f>
        <v>45137</v>
      </c>
      <c r="F362">
        <v>1</v>
      </c>
      <c r="G362" t="str">
        <f>VLOOKUP(B362,[1]Sheet1!B:N,8,0)</f>
        <v>דר טכנולוגיות בע"מ</v>
      </c>
      <c r="H362" t="str">
        <f>VLOOKUP(B362,[1]Sheet1!B:N,5,0)</f>
        <v>01.0119</v>
      </c>
    </row>
    <row r="363" spans="1:8" x14ac:dyDescent="0.3">
      <c r="A363" s="4"/>
      <c r="B363" t="s">
        <v>454</v>
      </c>
      <c r="C363">
        <f>VLOOKUP(B363,[1]Sheet1!B:N,9,0)</f>
        <v>430</v>
      </c>
      <c r="D363" t="str">
        <f>VLOOKUP(B363,[1]Sheet1!B:N,10,0)</f>
        <v>₪</v>
      </c>
      <c r="E363" s="3">
        <f>VLOOKUP(B363,[1]Sheet1!B:N,6,0)</f>
        <v>45736</v>
      </c>
      <c r="F363">
        <v>1</v>
      </c>
      <c r="G363" t="str">
        <f>VLOOKUP(B363,[1]Sheet1!B:N,8,0)</f>
        <v>לוונשטיין טכנולוגיות בע"מ</v>
      </c>
      <c r="H363" t="str">
        <f>VLOOKUP(B363,[1]Sheet1!B:N,5,0)</f>
        <v>01.0717</v>
      </c>
    </row>
    <row r="364" spans="1:8" x14ac:dyDescent="0.3">
      <c r="A364" s="4"/>
      <c r="B364" t="s">
        <v>455</v>
      </c>
      <c r="C364">
        <f>VLOOKUP(B364,[1]Sheet1!B:N,9,0)</f>
        <v>367.5</v>
      </c>
      <c r="D364" t="str">
        <f>VLOOKUP(B364,[1]Sheet1!B:N,10,0)</f>
        <v>₪</v>
      </c>
      <c r="E364" s="3">
        <f>VLOOKUP(B364,[1]Sheet1!B:N,6,0)</f>
        <v>45697</v>
      </c>
      <c r="F364">
        <v>1</v>
      </c>
      <c r="G364" t="str">
        <f>VLOOKUP(B364,[1]Sheet1!B:N,8,0)</f>
        <v>לוונשטיין טכנולוגיות בע"מ</v>
      </c>
      <c r="H364" t="str">
        <f>VLOOKUP(B364,[1]Sheet1!B:N,5,0)</f>
        <v>01.0116</v>
      </c>
    </row>
    <row r="365" spans="1:8" x14ac:dyDescent="0.3">
      <c r="A365" s="4"/>
      <c r="B365" t="s">
        <v>456</v>
      </c>
      <c r="C365">
        <f>VLOOKUP(B365,[1]Sheet1!B:N,9,0)</f>
        <v>430</v>
      </c>
      <c r="D365" t="str">
        <f>VLOOKUP(B365,[1]Sheet1!B:N,10,0)</f>
        <v>₪</v>
      </c>
      <c r="E365" s="3">
        <f>VLOOKUP(B365,[1]Sheet1!B:N,6,0)</f>
        <v>44595</v>
      </c>
      <c r="F365">
        <v>1</v>
      </c>
      <c r="G365" t="str">
        <f>VLOOKUP(B365,[1]Sheet1!B:N,8,0)</f>
        <v>דר טכנולוגיות בע"מ</v>
      </c>
      <c r="H365" t="str">
        <f>VLOOKUP(B365,[1]Sheet1!B:N,5,0)</f>
        <v>01.0557</v>
      </c>
    </row>
    <row r="366" spans="1:8" x14ac:dyDescent="0.3">
      <c r="A366" s="2"/>
      <c r="B366" t="s">
        <v>457</v>
      </c>
      <c r="C366">
        <f>VLOOKUP(B366,[1]Sheet1!B:N,9,0)</f>
        <v>430</v>
      </c>
      <c r="D366" t="str">
        <f>VLOOKUP(B366,[1]Sheet1!B:N,10,0)</f>
        <v>₪</v>
      </c>
      <c r="E366" s="3">
        <f>VLOOKUP(B366,[1]Sheet1!B:N,6,0)</f>
        <v>44595</v>
      </c>
      <c r="F366">
        <v>1</v>
      </c>
      <c r="G366" t="str">
        <f>VLOOKUP(B366,[1]Sheet1!B:N,8,0)</f>
        <v>דר טכנולוגיות בע"מ</v>
      </c>
      <c r="H366" t="str">
        <f>VLOOKUP(B366,[1]Sheet1!B:N,5,0)</f>
        <v>01.0558</v>
      </c>
    </row>
    <row r="367" spans="1:8" x14ac:dyDescent="0.3">
      <c r="A367" s="4"/>
      <c r="B367" t="s">
        <v>458</v>
      </c>
      <c r="C367">
        <f>VLOOKUP(B367,[1]Sheet1!B:N,9,0)</f>
        <v>430</v>
      </c>
      <c r="D367" t="str">
        <f>VLOOKUP(B367,[1]Sheet1!B:N,10,0)</f>
        <v>₪</v>
      </c>
      <c r="E367" s="3">
        <f>VLOOKUP(B367,[1]Sheet1!B:N,6,0)</f>
        <v>44595</v>
      </c>
      <c r="F367">
        <v>1</v>
      </c>
      <c r="G367" t="str">
        <f>VLOOKUP(B367,[1]Sheet1!B:N,8,0)</f>
        <v>דר טכנולוגיות בע"מ</v>
      </c>
      <c r="H367" t="str">
        <f>VLOOKUP(B367,[1]Sheet1!B:N,5,0)</f>
        <v>01.0559</v>
      </c>
    </row>
    <row r="368" spans="1:8" x14ac:dyDescent="0.3">
      <c r="A368" s="4"/>
      <c r="B368" t="s">
        <v>459</v>
      </c>
      <c r="C368">
        <f>VLOOKUP(B368,[1]Sheet1!B:N,9,0)</f>
        <v>430</v>
      </c>
      <c r="D368" t="str">
        <f>VLOOKUP(B368,[1]Sheet1!B:N,10,0)</f>
        <v>₪</v>
      </c>
      <c r="E368" s="3">
        <f>VLOOKUP(B368,[1]Sheet1!B:N,6,0)</f>
        <v>44608</v>
      </c>
      <c r="F368">
        <v>1</v>
      </c>
      <c r="G368" t="str">
        <f>VLOOKUP(B368,[1]Sheet1!B:N,8,0)</f>
        <v>דר טכנולוגיות בע"מ</v>
      </c>
      <c r="H368" t="str">
        <f>VLOOKUP(B368,[1]Sheet1!B:N,5,0)</f>
        <v>01.0561</v>
      </c>
    </row>
    <row r="369" spans="1:8" x14ac:dyDescent="0.3">
      <c r="A369" s="4"/>
      <c r="B369" t="s">
        <v>460</v>
      </c>
      <c r="C369">
        <f>VLOOKUP(B369,[1]Sheet1!B:N,9,0)</f>
        <v>430</v>
      </c>
      <c r="D369" t="str">
        <f>VLOOKUP(B369,[1]Sheet1!B:N,10,0)</f>
        <v>₪</v>
      </c>
      <c r="E369" s="3">
        <f>VLOOKUP(B369,[1]Sheet1!B:N,6,0)</f>
        <v>44608</v>
      </c>
      <c r="F369">
        <v>1</v>
      </c>
      <c r="G369" t="str">
        <f>VLOOKUP(B369,[1]Sheet1!B:N,8,0)</f>
        <v>דר טכנולוגיות בע"מ</v>
      </c>
      <c r="H369" t="str">
        <f>VLOOKUP(B369,[1]Sheet1!B:N,5,0)</f>
        <v>01.0562</v>
      </c>
    </row>
    <row r="370" spans="1:8" x14ac:dyDescent="0.3">
      <c r="A370" s="4"/>
      <c r="B370" t="s">
        <v>461</v>
      </c>
      <c r="C370">
        <f>VLOOKUP(B370,[1]Sheet1!B:N,9,0)</f>
        <v>430</v>
      </c>
      <c r="D370" t="str">
        <f>VLOOKUP(B370,[1]Sheet1!B:N,10,0)</f>
        <v>₪</v>
      </c>
      <c r="E370" s="3">
        <f>VLOOKUP(B370,[1]Sheet1!B:N,6,0)</f>
        <v>44595</v>
      </c>
      <c r="F370">
        <v>1</v>
      </c>
      <c r="G370" t="str">
        <f>VLOOKUP(B370,[1]Sheet1!B:N,8,0)</f>
        <v>דר טכנולוגיות בע"מ</v>
      </c>
      <c r="H370" t="str">
        <f>VLOOKUP(B370,[1]Sheet1!B:N,5,0)</f>
        <v>01.0560</v>
      </c>
    </row>
    <row r="371" spans="1:8" x14ac:dyDescent="0.3">
      <c r="A371" s="2"/>
      <c r="B371" t="s">
        <v>462</v>
      </c>
      <c r="C371">
        <f>VLOOKUP(B371,[1]Sheet1!B:N,9,0)</f>
        <v>520</v>
      </c>
      <c r="D371" t="str">
        <f>VLOOKUP(B371,[1]Sheet1!B:N,10,0)</f>
        <v>₪</v>
      </c>
      <c r="E371" s="3">
        <f>VLOOKUP(B371,[1]Sheet1!B:N,6,0)</f>
        <v>45308</v>
      </c>
      <c r="F371">
        <v>1</v>
      </c>
      <c r="G371" t="str">
        <f>VLOOKUP(B371,[1]Sheet1!B:N,8,0)</f>
        <v>גין מהנדסים בע"מ</v>
      </c>
      <c r="H371" t="str">
        <f>VLOOKUP(B371,[1]Sheet1!B:N,5,0)</f>
        <v>01.0640</v>
      </c>
    </row>
    <row r="372" spans="1:8" x14ac:dyDescent="0.3">
      <c r="A372" s="2"/>
      <c r="B372" t="s">
        <v>463</v>
      </c>
      <c r="C372">
        <f>VLOOKUP(B372,[1]Sheet1!B:N,9,0)</f>
        <v>380.00020000000001</v>
      </c>
      <c r="D372" t="str">
        <f>VLOOKUP(B372,[1]Sheet1!B:N,10,0)</f>
        <v>₪</v>
      </c>
      <c r="E372" s="3">
        <f>VLOOKUP(B372,[1]Sheet1!B:N,6,0)</f>
        <v>41654</v>
      </c>
      <c r="F372">
        <v>1</v>
      </c>
      <c r="G372" t="str">
        <f>VLOOKUP(B372,[1]Sheet1!B:N,8,0)</f>
        <v>לוונשטיין טכנולוגיות</v>
      </c>
      <c r="H372" t="str">
        <f>VLOOKUP(B372,[1]Sheet1!B:N,5,0)</f>
        <v>01.0112</v>
      </c>
    </row>
    <row r="373" spans="1:8" x14ac:dyDescent="0.3">
      <c r="A373" s="4"/>
      <c r="B373" t="s">
        <v>464</v>
      </c>
      <c r="C373">
        <f>VLOOKUP(B373,[1]Sheet1!B:N,9,0)</f>
        <v>95.55</v>
      </c>
      <c r="D373" t="str">
        <f>VLOOKUP(B373,[1]Sheet1!B:N,10,0)</f>
        <v>$</v>
      </c>
      <c r="E373" s="3">
        <f>VLOOKUP(B373,[1]Sheet1!B:N,6,0)</f>
        <v>44248</v>
      </c>
      <c r="F373">
        <v>1</v>
      </c>
      <c r="G373" t="str">
        <f>VLOOKUP(B373,[1]Sheet1!B:N,8,0)</f>
        <v>ברמיל בע"מ</v>
      </c>
      <c r="H373" t="str">
        <f>VLOOKUP(B373,[1]Sheet1!B:N,5,0)</f>
        <v>01.0112</v>
      </c>
    </row>
    <row r="374" spans="1:8" x14ac:dyDescent="0.3">
      <c r="A374" s="4"/>
      <c r="B374" t="s">
        <v>465</v>
      </c>
      <c r="C374">
        <f>VLOOKUP(B374,[1]Sheet1!B:N,9,0)</f>
        <v>380</v>
      </c>
      <c r="D374" t="str">
        <f>VLOOKUP(B374,[1]Sheet1!B:N,10,0)</f>
        <v>₪</v>
      </c>
      <c r="E374" s="3">
        <f>VLOOKUP(B374,[1]Sheet1!B:N,6,0)</f>
        <v>41430</v>
      </c>
      <c r="F374">
        <v>1</v>
      </c>
      <c r="G374" t="str">
        <f>VLOOKUP(B374,[1]Sheet1!B:N,8,0)</f>
        <v>לוונשטיין טכנולוגיות</v>
      </c>
      <c r="H374" t="str">
        <f>VLOOKUP(B374,[1]Sheet1!B:N,5,0)</f>
        <v>01.0112</v>
      </c>
    </row>
    <row r="375" spans="1:8" x14ac:dyDescent="0.3">
      <c r="A375" s="4"/>
      <c r="B375" t="s">
        <v>466</v>
      </c>
      <c r="C375">
        <f>VLOOKUP(B375,[1]Sheet1!B:N,9,0)</f>
        <v>380</v>
      </c>
      <c r="D375" t="str">
        <f>VLOOKUP(B375,[1]Sheet1!B:N,10,0)</f>
        <v>₪</v>
      </c>
      <c r="E375" s="3">
        <f>VLOOKUP(B375,[1]Sheet1!B:N,6,0)</f>
        <v>41430</v>
      </c>
      <c r="F375">
        <v>1</v>
      </c>
      <c r="G375" t="str">
        <f>VLOOKUP(B375,[1]Sheet1!B:N,8,0)</f>
        <v>לוונשטיין טכנולוגיות</v>
      </c>
      <c r="H375" t="str">
        <f>VLOOKUP(B375,[1]Sheet1!B:N,5,0)</f>
        <v>01.0112</v>
      </c>
    </row>
    <row r="376" spans="1:8" x14ac:dyDescent="0.3">
      <c r="A376" s="2"/>
      <c r="B376" t="s">
        <v>467</v>
      </c>
      <c r="C376">
        <f>VLOOKUP(B376,[1]Sheet1!B:N,9,0)</f>
        <v>500</v>
      </c>
      <c r="D376" t="str">
        <f>VLOOKUP(B376,[1]Sheet1!B:N,10,0)</f>
        <v>₪</v>
      </c>
      <c r="E376" s="3">
        <f>VLOOKUP(B376,[1]Sheet1!B:N,6,0)</f>
        <v>45973</v>
      </c>
      <c r="F376">
        <v>1</v>
      </c>
      <c r="G376" t="str">
        <f>VLOOKUP(B376,[1]Sheet1!B:N,8,0)</f>
        <v>דר טכנולוגיות בע"מ</v>
      </c>
      <c r="H376" t="str">
        <f>VLOOKUP(B376,[1]Sheet1!B:N,5,0)</f>
        <v>01.0137</v>
      </c>
    </row>
    <row r="377" spans="1:8" x14ac:dyDescent="0.3">
      <c r="A377" s="2"/>
      <c r="B377" t="s">
        <v>468</v>
      </c>
      <c r="C377">
        <f>VLOOKUP(B377,[1]Sheet1!B:N,9,0)</f>
        <v>0</v>
      </c>
      <c r="D377" t="str">
        <f>VLOOKUP(B377,[1]Sheet1!B:N,10,0)</f>
        <v>₪</v>
      </c>
      <c r="E377" s="3">
        <f>VLOOKUP(B377,[1]Sheet1!B:N,6,0)</f>
        <v>41417</v>
      </c>
      <c r="F377">
        <v>1</v>
      </c>
      <c r="G377" t="str">
        <f>VLOOKUP(B377,[1]Sheet1!B:N,8,0)</f>
        <v>לוונשטיין טכנולוגיות</v>
      </c>
      <c r="H377" t="str">
        <f>VLOOKUP(B377,[1]Sheet1!B:N,5,0)</f>
        <v>01.0111</v>
      </c>
    </row>
    <row r="378" spans="1:8" x14ac:dyDescent="0.3">
      <c r="A378" s="2"/>
      <c r="B378" t="s">
        <v>469</v>
      </c>
      <c r="C378">
        <f>VLOOKUP(B378,[1]Sheet1!B:N,9,0)</f>
        <v>800</v>
      </c>
      <c r="D378" t="str">
        <f>VLOOKUP(B378,[1]Sheet1!B:N,10,0)</f>
        <v>₪</v>
      </c>
      <c r="E378" s="3">
        <f>VLOOKUP(B378,[1]Sheet1!B:N,6,0)</f>
        <v>45531</v>
      </c>
      <c r="F378">
        <v>1</v>
      </c>
      <c r="G378" t="str">
        <f>VLOOKUP(B378,[1]Sheet1!B:N,8,0)</f>
        <v>לוונשטיין טכנולוגיות בע"מ</v>
      </c>
      <c r="H378" t="str">
        <f>VLOOKUP(B378,[1]Sheet1!B:N,5,0)</f>
        <v>01.0671</v>
      </c>
    </row>
    <row r="379" spans="1:8" x14ac:dyDescent="0.3">
      <c r="A379" s="2"/>
      <c r="B379" t="s">
        <v>470</v>
      </c>
      <c r="C379">
        <f>VLOOKUP(B379,[1]Sheet1!B:N,9,0)</f>
        <v>810</v>
      </c>
      <c r="D379" t="str">
        <f>VLOOKUP(B379,[1]Sheet1!B:N,10,0)</f>
        <v>₪</v>
      </c>
      <c r="E379" s="3">
        <f>VLOOKUP(B379,[1]Sheet1!B:N,6,0)</f>
        <v>45715</v>
      </c>
      <c r="F379">
        <v>1</v>
      </c>
      <c r="G379" t="str">
        <f>VLOOKUP(B379,[1]Sheet1!B:N,8,0)</f>
        <v>גין מהנדסים בע"מ</v>
      </c>
      <c r="H379" t="str">
        <f>VLOOKUP(B379,[1]Sheet1!B:N,5,0)</f>
        <v>01.0714</v>
      </c>
    </row>
    <row r="380" spans="1:8" x14ac:dyDescent="0.3">
      <c r="A380" s="4"/>
      <c r="B380" t="s">
        <v>471</v>
      </c>
      <c r="C380">
        <f>VLOOKUP(B380,[1]Sheet1!B:N,9,0)</f>
        <v>856</v>
      </c>
      <c r="D380" t="str">
        <f>VLOOKUP(B380,[1]Sheet1!B:N,10,0)</f>
        <v>₪</v>
      </c>
      <c r="E380" s="3">
        <f>VLOOKUP(B380,[1]Sheet1!B:N,6,0)</f>
        <v>45715</v>
      </c>
      <c r="F380">
        <v>1</v>
      </c>
      <c r="G380" t="str">
        <f>VLOOKUP(B380,[1]Sheet1!B:N,8,0)</f>
        <v>גין מהנדסים בע"מ</v>
      </c>
      <c r="H380" t="str">
        <f>VLOOKUP(B380,[1]Sheet1!B:N,5,0)</f>
        <v>01.0711</v>
      </c>
    </row>
    <row r="381" spans="1:8" x14ac:dyDescent="0.3">
      <c r="A381" s="4"/>
      <c r="B381" t="s">
        <v>472</v>
      </c>
      <c r="C381">
        <f>VLOOKUP(B381,[1]Sheet1!B:N,9,0)</f>
        <v>810</v>
      </c>
      <c r="D381" t="str">
        <f>VLOOKUP(B381,[1]Sheet1!B:N,10,0)</f>
        <v>₪</v>
      </c>
      <c r="E381" s="3">
        <f>VLOOKUP(B381,[1]Sheet1!B:N,6,0)</f>
        <v>45715</v>
      </c>
      <c r="F381">
        <v>1</v>
      </c>
      <c r="G381" t="str">
        <f>VLOOKUP(B381,[1]Sheet1!B:N,8,0)</f>
        <v>גין מהנדסים בע"מ</v>
      </c>
      <c r="H381" t="str">
        <f>VLOOKUP(B381,[1]Sheet1!B:N,5,0)</f>
        <v>01.0713</v>
      </c>
    </row>
    <row r="382" spans="1:8" x14ac:dyDescent="0.3">
      <c r="A382" s="4"/>
      <c r="B382" t="s">
        <v>473</v>
      </c>
      <c r="C382">
        <f>VLOOKUP(B382,[1]Sheet1!B:N,9,0)</f>
        <v>856</v>
      </c>
      <c r="D382" t="str">
        <f>VLOOKUP(B382,[1]Sheet1!B:N,10,0)</f>
        <v>₪</v>
      </c>
      <c r="E382" s="3">
        <f>VLOOKUP(B382,[1]Sheet1!B:N,6,0)</f>
        <v>45715</v>
      </c>
      <c r="F382">
        <v>1</v>
      </c>
      <c r="G382" t="str">
        <f>VLOOKUP(B382,[1]Sheet1!B:N,8,0)</f>
        <v>גין מהנדסים בע"מ</v>
      </c>
      <c r="H382" t="str">
        <f>VLOOKUP(B382,[1]Sheet1!B:N,5,0)</f>
        <v>01.0712</v>
      </c>
    </row>
    <row r="383" spans="1:8" x14ac:dyDescent="0.3">
      <c r="A383" s="4"/>
      <c r="B383" t="s">
        <v>474</v>
      </c>
      <c r="C383">
        <f>VLOOKUP(B383,[1]Sheet1!B:N,9,0)</f>
        <v>985</v>
      </c>
      <c r="D383" t="str">
        <f>VLOOKUP(B383,[1]Sheet1!B:N,10,0)</f>
        <v>₪</v>
      </c>
      <c r="E383" s="3">
        <f>VLOOKUP(B383,[1]Sheet1!B:N,6,0)</f>
        <v>45715</v>
      </c>
      <c r="F383">
        <v>1</v>
      </c>
      <c r="G383" t="str">
        <f>VLOOKUP(B383,[1]Sheet1!B:N,8,0)</f>
        <v>גין מהנדסים בע"מ</v>
      </c>
      <c r="H383" t="str">
        <f>VLOOKUP(B383,[1]Sheet1!B:N,5,0)</f>
        <v>01.0708</v>
      </c>
    </row>
    <row r="384" spans="1:8" x14ac:dyDescent="0.3">
      <c r="A384" s="4"/>
      <c r="B384" t="s">
        <v>475</v>
      </c>
      <c r="C384">
        <f>VLOOKUP(B384,[1]Sheet1!B:N,9,0)</f>
        <v>845</v>
      </c>
      <c r="D384" t="str">
        <f>VLOOKUP(B384,[1]Sheet1!B:N,10,0)</f>
        <v>₪</v>
      </c>
      <c r="E384" s="3">
        <f>VLOOKUP(B384,[1]Sheet1!B:N,6,0)</f>
        <v>45715</v>
      </c>
      <c r="F384">
        <v>1</v>
      </c>
      <c r="G384" t="str">
        <f>VLOOKUP(B384,[1]Sheet1!B:N,8,0)</f>
        <v>גין מהנדסים בע"מ</v>
      </c>
      <c r="H384" t="str">
        <f>VLOOKUP(B384,[1]Sheet1!B:N,5,0)</f>
        <v>01.0709</v>
      </c>
    </row>
    <row r="385" spans="1:8" x14ac:dyDescent="0.3">
      <c r="A385" s="4"/>
      <c r="B385" t="s">
        <v>476</v>
      </c>
      <c r="C385">
        <f>VLOOKUP(B385,[1]Sheet1!B:N,9,0)</f>
        <v>845</v>
      </c>
      <c r="D385" t="str">
        <f>VLOOKUP(B385,[1]Sheet1!B:N,10,0)</f>
        <v>₪</v>
      </c>
      <c r="E385" s="3">
        <f>VLOOKUP(B385,[1]Sheet1!B:N,6,0)</f>
        <v>45715</v>
      </c>
      <c r="F385">
        <v>1</v>
      </c>
      <c r="G385" t="str">
        <f>VLOOKUP(B385,[1]Sheet1!B:N,8,0)</f>
        <v>גין מהנדסים בע"מ</v>
      </c>
      <c r="H385" t="str">
        <f>VLOOKUP(B385,[1]Sheet1!B:N,5,0)</f>
        <v>01.0710</v>
      </c>
    </row>
    <row r="386" spans="1:8" x14ac:dyDescent="0.3">
      <c r="A386" s="4"/>
      <c r="B386" t="s">
        <v>477</v>
      </c>
      <c r="C386">
        <f>VLOOKUP(B386,[1]Sheet1!B:N,9,0)</f>
        <v>375</v>
      </c>
      <c r="D386" t="str">
        <f>VLOOKUP(B386,[1]Sheet1!B:N,10,0)</f>
        <v>₪</v>
      </c>
      <c r="E386" s="3">
        <f>VLOOKUP(B386,[1]Sheet1!B:N,6,0)</f>
        <v>45550</v>
      </c>
      <c r="F386">
        <v>1</v>
      </c>
      <c r="G386" t="str">
        <f>VLOOKUP(B386,[1]Sheet1!B:N,8,0)</f>
        <v>לוונשטיין טכנולוגיות בע"מ</v>
      </c>
      <c r="H386" t="str">
        <f>VLOOKUP(B386,[1]Sheet1!B:N,5,0)</f>
        <v>01.0435</v>
      </c>
    </row>
    <row r="387" spans="1:8" x14ac:dyDescent="0.3">
      <c r="A387" s="4"/>
      <c r="B387" t="s">
        <v>478</v>
      </c>
      <c r="C387">
        <f>VLOOKUP(B387,[1]Sheet1!B:N,9,0)</f>
        <v>130</v>
      </c>
      <c r="D387" t="str">
        <f>VLOOKUP(B387,[1]Sheet1!B:N,10,0)</f>
        <v>₪</v>
      </c>
      <c r="E387" s="3">
        <f>VLOOKUP(B387,[1]Sheet1!B:N,6,0)</f>
        <v>44650</v>
      </c>
      <c r="F387">
        <v>1</v>
      </c>
      <c r="G387" t="str">
        <f>VLOOKUP(B387,[1]Sheet1!B:N,8,0)</f>
        <v>גין מהנדסים בע"מ</v>
      </c>
      <c r="H387" t="str">
        <f>VLOOKUP(B387,[1]Sheet1!B:N,5,0)</f>
        <v>01.0565</v>
      </c>
    </row>
    <row r="388" spans="1:8" x14ac:dyDescent="0.3">
      <c r="A388" s="4"/>
      <c r="B388" t="s">
        <v>479</v>
      </c>
      <c r="C388">
        <f>VLOOKUP(B388,[1]Sheet1!B:N,9,0)</f>
        <v>130</v>
      </c>
      <c r="D388" t="str">
        <f>VLOOKUP(B388,[1]Sheet1!B:N,10,0)</f>
        <v>₪</v>
      </c>
      <c r="E388" s="3">
        <f>VLOOKUP(B388,[1]Sheet1!B:N,6,0)</f>
        <v>44650</v>
      </c>
      <c r="F388">
        <v>1</v>
      </c>
      <c r="G388" t="str">
        <f>VLOOKUP(B388,[1]Sheet1!B:N,8,0)</f>
        <v>גין מהנדסים בע"מ</v>
      </c>
      <c r="H388" t="str">
        <f>VLOOKUP(B388,[1]Sheet1!B:N,5,0)</f>
        <v>01.0566</v>
      </c>
    </row>
    <row r="389" spans="1:8" x14ac:dyDescent="0.3">
      <c r="A389" s="2"/>
      <c r="B389" t="s">
        <v>480</v>
      </c>
      <c r="C389">
        <f>VLOOKUP(B389,[1]Sheet1!B:N,9,0)</f>
        <v>130</v>
      </c>
      <c r="D389" t="str">
        <f>VLOOKUP(B389,[1]Sheet1!B:N,10,0)</f>
        <v>₪</v>
      </c>
      <c r="E389" s="3">
        <f>VLOOKUP(B389,[1]Sheet1!B:N,6,0)</f>
        <v>44650</v>
      </c>
      <c r="F389">
        <v>1</v>
      </c>
      <c r="G389" t="str">
        <f>VLOOKUP(B389,[1]Sheet1!B:N,8,0)</f>
        <v>גין מהנדסים בע"מ</v>
      </c>
      <c r="H389" t="str">
        <f>VLOOKUP(B389,[1]Sheet1!B:N,5,0)</f>
        <v>01.0567</v>
      </c>
    </row>
    <row r="390" spans="1:8" x14ac:dyDescent="0.3">
      <c r="A390" s="4"/>
      <c r="B390" t="s">
        <v>481</v>
      </c>
      <c r="C390">
        <f>VLOOKUP(B390,[1]Sheet1!B:N,9,0)</f>
        <v>215</v>
      </c>
      <c r="D390" t="str">
        <f>VLOOKUP(B390,[1]Sheet1!B:N,10,0)</f>
        <v>₪</v>
      </c>
      <c r="E390" s="3">
        <f>VLOOKUP(B390,[1]Sheet1!B:N,6,0)</f>
        <v>44340</v>
      </c>
      <c r="F390">
        <v>1</v>
      </c>
      <c r="G390" t="str">
        <f>VLOOKUP(B390,[1]Sheet1!B:N,8,0)</f>
        <v>לוונשטיין טכנולוגיות</v>
      </c>
      <c r="H390" t="str">
        <f>VLOOKUP(B390,[1]Sheet1!B:N,5,0)</f>
        <v>01.0310</v>
      </c>
    </row>
    <row r="391" spans="1:8" x14ac:dyDescent="0.3">
      <c r="A391" s="4"/>
      <c r="B391" t="s">
        <v>482</v>
      </c>
      <c r="C391">
        <f>VLOOKUP(B391,[1]Sheet1!B:N,9,0)</f>
        <v>375</v>
      </c>
      <c r="D391" t="str">
        <f>VLOOKUP(B391,[1]Sheet1!B:N,10,0)</f>
        <v>₪</v>
      </c>
      <c r="E391" s="3">
        <f>VLOOKUP(B391,[1]Sheet1!B:N,6,0)</f>
        <v>45550</v>
      </c>
      <c r="F391">
        <v>1</v>
      </c>
      <c r="G391" t="str">
        <f>VLOOKUP(B391,[1]Sheet1!B:N,8,0)</f>
        <v>לוונשטיין טכנולוגיות בע"מ</v>
      </c>
      <c r="H391" t="str">
        <f>VLOOKUP(B391,[1]Sheet1!B:N,5,0)</f>
        <v>01.0490</v>
      </c>
    </row>
    <row r="392" spans="1:8" x14ac:dyDescent="0.3">
      <c r="A392" s="4"/>
      <c r="B392" t="s">
        <v>483</v>
      </c>
      <c r="C392">
        <f>VLOOKUP(B392,[1]Sheet1!B:N,9,0)</f>
        <v>250</v>
      </c>
      <c r="D392" t="str">
        <f>VLOOKUP(B392,[1]Sheet1!B:N,10,0)</f>
        <v>₪</v>
      </c>
      <c r="E392" s="3">
        <f>VLOOKUP(B392,[1]Sheet1!B:N,6,0)</f>
        <v>43541</v>
      </c>
      <c r="F392">
        <v>1</v>
      </c>
      <c r="G392" t="str">
        <f>VLOOKUP(B392,[1]Sheet1!B:N,8,0)</f>
        <v>דר טכנולוגיות בע"מ</v>
      </c>
      <c r="H392" t="str">
        <f>VLOOKUP(B392,[1]Sheet1!B:N,5,0)</f>
        <v>01.0478</v>
      </c>
    </row>
    <row r="393" spans="1:8" x14ac:dyDescent="0.3">
      <c r="A393" s="4"/>
      <c r="B393" t="s">
        <v>484</v>
      </c>
      <c r="C393">
        <f>VLOOKUP(B393,[1]Sheet1!B:N,9,0)</f>
        <v>375</v>
      </c>
      <c r="D393" t="str">
        <f>VLOOKUP(B393,[1]Sheet1!B:N,10,0)</f>
        <v>₪</v>
      </c>
      <c r="E393" s="3">
        <f>VLOOKUP(B393,[1]Sheet1!B:N,6,0)</f>
        <v>45550</v>
      </c>
      <c r="F393">
        <v>1</v>
      </c>
      <c r="G393" t="str">
        <f>VLOOKUP(B393,[1]Sheet1!B:N,8,0)</f>
        <v>לוונשטיין טכנולוגיות בע"מ</v>
      </c>
      <c r="H393" t="str">
        <f>VLOOKUP(B393,[1]Sheet1!B:N,5,0)</f>
        <v>01.0675</v>
      </c>
    </row>
    <row r="394" spans="1:8" x14ac:dyDescent="0.3">
      <c r="A394" s="4"/>
      <c r="B394" t="s">
        <v>485</v>
      </c>
      <c r="C394">
        <f>VLOOKUP(B394,[1]Sheet1!B:N,9,0)</f>
        <v>380</v>
      </c>
      <c r="D394" t="str">
        <f>VLOOKUP(B394,[1]Sheet1!B:N,10,0)</f>
        <v>₪</v>
      </c>
      <c r="E394" s="3">
        <f>VLOOKUP(B394,[1]Sheet1!B:N,6,0)</f>
        <v>43471</v>
      </c>
      <c r="F394">
        <v>1</v>
      </c>
      <c r="G394" t="str">
        <f>VLOOKUP(B394,[1]Sheet1!B:N,8,0)</f>
        <v>גין מהנדסים בע"מ</v>
      </c>
      <c r="H394" t="str">
        <f>VLOOKUP(B394,[1]Sheet1!B:N,5,0)</f>
        <v>01.0468</v>
      </c>
    </row>
    <row r="395" spans="1:8" x14ac:dyDescent="0.3">
      <c r="A395" s="4"/>
      <c r="B395" t="s">
        <v>486</v>
      </c>
      <c r="C395">
        <f>VLOOKUP(B395,[1]Sheet1!B:N,9,0)</f>
        <v>340</v>
      </c>
      <c r="D395" t="str">
        <f>VLOOKUP(B395,[1]Sheet1!B:N,10,0)</f>
        <v>₪</v>
      </c>
      <c r="E395" s="3">
        <f>VLOOKUP(B395,[1]Sheet1!B:N,6,0)</f>
        <v>44104</v>
      </c>
      <c r="F395">
        <v>1</v>
      </c>
      <c r="G395" t="str">
        <f>VLOOKUP(B395,[1]Sheet1!B:N,8,0)</f>
        <v>לוונשטיין טכנולוגיות</v>
      </c>
      <c r="H395" t="str">
        <f>VLOOKUP(B395,[1]Sheet1!B:N,5,0)</f>
        <v>01.0522</v>
      </c>
    </row>
    <row r="396" spans="1:8" x14ac:dyDescent="0.3">
      <c r="A396" s="4"/>
      <c r="B396" t="s">
        <v>487</v>
      </c>
      <c r="C396">
        <f>VLOOKUP(B396,[1]Sheet1!B:N,9,0)</f>
        <v>257</v>
      </c>
      <c r="D396" t="str">
        <f>VLOOKUP(B396,[1]Sheet1!B:N,10,0)</f>
        <v>₪</v>
      </c>
      <c r="E396" s="3">
        <f>VLOOKUP(B396,[1]Sheet1!B:N,6,0)</f>
        <v>43692</v>
      </c>
      <c r="F396">
        <v>1</v>
      </c>
      <c r="G396" t="str">
        <f>VLOOKUP(B396,[1]Sheet1!B:N,8,0)</f>
        <v>לוונשטיין טכנולוגיות</v>
      </c>
      <c r="H396" t="str">
        <f>VLOOKUP(B396,[1]Sheet1!B:N,5,0)</f>
        <v>01.0494</v>
      </c>
    </row>
    <row r="397" spans="1:8" x14ac:dyDescent="0.3">
      <c r="A397" s="4"/>
      <c r="B397" t="s">
        <v>488</v>
      </c>
      <c r="C397">
        <f>VLOOKUP(B397,[1]Sheet1!B:N,9,0)</f>
        <v>184</v>
      </c>
      <c r="D397" t="str">
        <f>VLOOKUP(B397,[1]Sheet1!B:N,10,0)</f>
        <v>₪</v>
      </c>
      <c r="E397" s="3">
        <f>VLOOKUP(B397,[1]Sheet1!B:N,6,0)</f>
        <v>43692</v>
      </c>
      <c r="F397">
        <v>1</v>
      </c>
      <c r="G397" t="str">
        <f>VLOOKUP(B397,[1]Sheet1!B:N,8,0)</f>
        <v>לוונשטיין טכנולוגיות</v>
      </c>
      <c r="H397" t="str">
        <f>VLOOKUP(B397,[1]Sheet1!B:N,5,0)</f>
        <v>01.0495</v>
      </c>
    </row>
    <row r="398" spans="1:8" x14ac:dyDescent="0.3">
      <c r="A398" s="4"/>
      <c r="B398" t="s">
        <v>489</v>
      </c>
      <c r="C398">
        <f>VLOOKUP(B398,[1]Sheet1!B:N,9,0)</f>
        <v>305</v>
      </c>
      <c r="D398" t="str">
        <f>VLOOKUP(B398,[1]Sheet1!B:N,10,0)</f>
        <v>₪</v>
      </c>
      <c r="E398" s="3">
        <f>VLOOKUP(B398,[1]Sheet1!B:N,6,0)</f>
        <v>45579</v>
      </c>
      <c r="F398">
        <v>1</v>
      </c>
      <c r="G398" t="str">
        <f>VLOOKUP(B398,[1]Sheet1!B:N,8,0)</f>
        <v>לוונשטיין טכנולוגיות בע"מ</v>
      </c>
      <c r="H398" t="str">
        <f>VLOOKUP(B398,[1]Sheet1!B:N,5,0)</f>
        <v>01.0494</v>
      </c>
    </row>
    <row r="399" spans="1:8" x14ac:dyDescent="0.3">
      <c r="A399" s="4"/>
      <c r="B399" t="s">
        <v>490</v>
      </c>
      <c r="C399">
        <f>VLOOKUP(B399,[1]Sheet1!B:N,9,0)</f>
        <v>300</v>
      </c>
      <c r="D399" t="str">
        <f>VLOOKUP(B399,[1]Sheet1!B:N,10,0)</f>
        <v>₪</v>
      </c>
      <c r="E399" s="3">
        <f>VLOOKUP(B399,[1]Sheet1!B:N,6,0)</f>
        <v>43577</v>
      </c>
      <c r="F399">
        <v>1</v>
      </c>
      <c r="G399" t="str">
        <f>VLOOKUP(B399,[1]Sheet1!B:N,8,0)</f>
        <v>דר טכנולוגיות בע"מ</v>
      </c>
      <c r="H399" t="str">
        <f>VLOOKUP(B399,[1]Sheet1!B:N,5,0)</f>
        <v>01.0309</v>
      </c>
    </row>
    <row r="400" spans="1:8" x14ac:dyDescent="0.3">
      <c r="A400" s="2"/>
      <c r="B400" t="s">
        <v>491</v>
      </c>
      <c r="C400">
        <f>VLOOKUP(B400,[1]Sheet1!B:N,9,0)</f>
        <v>190</v>
      </c>
      <c r="D400" t="str">
        <f>VLOOKUP(B400,[1]Sheet1!B:N,10,0)</f>
        <v>₪</v>
      </c>
      <c r="E400" s="3">
        <f>VLOOKUP(B400,[1]Sheet1!B:N,6,0)</f>
        <v>43655</v>
      </c>
      <c r="F400">
        <v>1</v>
      </c>
      <c r="G400" t="str">
        <f>VLOOKUP(B400,[1]Sheet1!B:N,8,0)</f>
        <v>לוונשטיין טכנולוגיות</v>
      </c>
      <c r="H400" t="str">
        <f>VLOOKUP(B400,[1]Sheet1!B:N,5,0)</f>
        <v>01.0312</v>
      </c>
    </row>
    <row r="401" spans="1:8" x14ac:dyDescent="0.3">
      <c r="A401" s="4"/>
      <c r="B401" t="s">
        <v>492</v>
      </c>
      <c r="C401">
        <f>VLOOKUP(B401,[1]Sheet1!B:N,9,0)</f>
        <v>375</v>
      </c>
      <c r="D401" t="str">
        <f>VLOOKUP(B401,[1]Sheet1!B:N,10,0)</f>
        <v>₪</v>
      </c>
      <c r="E401" s="3">
        <f>VLOOKUP(B401,[1]Sheet1!B:N,6,0)</f>
        <v>45550</v>
      </c>
      <c r="F401">
        <v>1</v>
      </c>
      <c r="G401" t="str">
        <f>VLOOKUP(B401,[1]Sheet1!B:N,8,0)</f>
        <v>לוונשטיין טכנולוגיות בע"מ</v>
      </c>
      <c r="H401" t="str">
        <f>VLOOKUP(B401,[1]Sheet1!B:N,5,0)</f>
        <v>01.0242</v>
      </c>
    </row>
    <row r="402" spans="1:8" x14ac:dyDescent="0.3">
      <c r="A402" s="4"/>
      <c r="B402" t="s">
        <v>493</v>
      </c>
      <c r="C402">
        <f>VLOOKUP(B402,[1]Sheet1!B:N,9,0)</f>
        <v>370</v>
      </c>
      <c r="D402" t="str">
        <f>VLOOKUP(B402,[1]Sheet1!B:N,10,0)</f>
        <v>₪</v>
      </c>
      <c r="E402" s="3">
        <f>VLOOKUP(B402,[1]Sheet1!B:N,6,0)</f>
        <v>44439</v>
      </c>
      <c r="F402">
        <v>1</v>
      </c>
      <c r="G402" t="str">
        <f>VLOOKUP(B402,[1]Sheet1!B:N,8,0)</f>
        <v>לוונשטיין טכנולוגיות</v>
      </c>
      <c r="H402" t="str">
        <f>VLOOKUP(B402,[1]Sheet1!B:N,5,0)</f>
        <v>01.0543</v>
      </c>
    </row>
    <row r="403" spans="1:8" x14ac:dyDescent="0.3">
      <c r="A403" s="4"/>
      <c r="B403" t="s">
        <v>494</v>
      </c>
      <c r="C403">
        <f>VLOOKUP(B403,[1]Sheet1!B:N,9,0)</f>
        <v>70</v>
      </c>
      <c r="D403" t="str">
        <f>VLOOKUP(B403,[1]Sheet1!B:N,10,0)</f>
        <v>₪</v>
      </c>
      <c r="E403" s="3">
        <f>VLOOKUP(B403,[1]Sheet1!B:N,6,0)</f>
        <v>45887</v>
      </c>
      <c r="F403">
        <v>1</v>
      </c>
      <c r="G403" t="str">
        <f>VLOOKUP(B403,[1]Sheet1!B:N,8,0)</f>
        <v>לוונשטיין טכנולוגיות בע"מ</v>
      </c>
      <c r="H403" t="str">
        <f>VLOOKUP(B403,[1]Sheet1!B:N,5,0)</f>
        <v>01.0358</v>
      </c>
    </row>
    <row r="404" spans="1:8" x14ac:dyDescent="0.3">
      <c r="A404" s="2"/>
      <c r="B404" t="s">
        <v>495</v>
      </c>
      <c r="C404">
        <f>VLOOKUP(B404,[1]Sheet1!B:N,9,0)</f>
        <v>0.55000000000000004</v>
      </c>
      <c r="D404" t="str">
        <f>VLOOKUP(B404,[1]Sheet1!B:N,10,0)</f>
        <v>₪</v>
      </c>
      <c r="E404" s="3">
        <f>VLOOKUP(B404,[1]Sheet1!B:N,6,0)</f>
        <v>44291</v>
      </c>
      <c r="F404">
        <v>1</v>
      </c>
      <c r="G404" t="str">
        <f>VLOOKUP(B404,[1]Sheet1!B:N,8,0)</f>
        <v>דר טכנולוגיות בע"מ</v>
      </c>
      <c r="H404" t="str">
        <f>VLOOKUP(B404,[1]Sheet1!B:N,5,0)</f>
        <v>01.0073</v>
      </c>
    </row>
    <row r="405" spans="1:8" x14ac:dyDescent="0.3">
      <c r="A405" s="2"/>
      <c r="B405" t="s">
        <v>496</v>
      </c>
      <c r="C405">
        <f>VLOOKUP(B405,[1]Sheet1!B:N,9,0)</f>
        <v>200</v>
      </c>
      <c r="D405" t="str">
        <f>VLOOKUP(B405,[1]Sheet1!B:N,10,0)</f>
        <v>₪</v>
      </c>
      <c r="E405" s="3">
        <f>VLOOKUP(B405,[1]Sheet1!B:N,6,0)</f>
        <v>44664</v>
      </c>
      <c r="F405">
        <v>1</v>
      </c>
      <c r="G405" t="str">
        <f>VLOOKUP(B405,[1]Sheet1!B:N,8,0)</f>
        <v>לוונשטיין טכנולוגיות בע"מ</v>
      </c>
      <c r="H405" t="str">
        <f>VLOOKUP(B405,[1]Sheet1!B:N,5,0)</f>
        <v>01.0572</v>
      </c>
    </row>
    <row r="406" spans="1:8" x14ac:dyDescent="0.3">
      <c r="A406" s="4"/>
      <c r="B406" t="s">
        <v>497</v>
      </c>
      <c r="C406">
        <f>VLOOKUP(B406,[1]Sheet1!B:N,9,0)</f>
        <v>230</v>
      </c>
      <c r="D406" t="str">
        <f>VLOOKUP(B406,[1]Sheet1!B:N,10,0)</f>
        <v>₪</v>
      </c>
      <c r="E406" s="3">
        <f>VLOOKUP(B406,[1]Sheet1!B:N,6,0)</f>
        <v>44664</v>
      </c>
      <c r="F406">
        <v>1</v>
      </c>
      <c r="G406" t="str">
        <f>VLOOKUP(B406,[1]Sheet1!B:N,8,0)</f>
        <v>לוונשטיין טכנולוגיות בע"מ</v>
      </c>
      <c r="H406" t="str">
        <f>VLOOKUP(B406,[1]Sheet1!B:N,5,0)</f>
        <v>01.0572</v>
      </c>
    </row>
    <row r="407" spans="1:8" x14ac:dyDescent="0.3">
      <c r="A407" s="4"/>
      <c r="B407" t="s">
        <v>498</v>
      </c>
      <c r="C407">
        <f>VLOOKUP(B407,[1]Sheet1!B:N,9,0)</f>
        <v>230</v>
      </c>
      <c r="D407" t="str">
        <f>VLOOKUP(B407,[1]Sheet1!B:N,10,0)</f>
        <v>₪</v>
      </c>
      <c r="E407" s="3">
        <f>VLOOKUP(B407,[1]Sheet1!B:N,6,0)</f>
        <v>44664</v>
      </c>
      <c r="F407">
        <v>1</v>
      </c>
      <c r="G407" t="str">
        <f>VLOOKUP(B407,[1]Sheet1!B:N,8,0)</f>
        <v>לוונשטיין טכנולוגיות בע"מ</v>
      </c>
      <c r="H407" t="str">
        <f>VLOOKUP(B407,[1]Sheet1!B:N,5,0)</f>
        <v>01.0572</v>
      </c>
    </row>
    <row r="408" spans="1:8" x14ac:dyDescent="0.3">
      <c r="A408" s="4"/>
      <c r="B408" t="s">
        <v>499</v>
      </c>
      <c r="C408">
        <f>VLOOKUP(B408,[1]Sheet1!B:N,9,0)</f>
        <v>200</v>
      </c>
      <c r="D408" t="str">
        <f>VLOOKUP(B408,[1]Sheet1!B:N,10,0)</f>
        <v>₪</v>
      </c>
      <c r="E408" s="3">
        <f>VLOOKUP(B408,[1]Sheet1!B:N,6,0)</f>
        <v>44664</v>
      </c>
      <c r="F408">
        <v>1</v>
      </c>
      <c r="G408" t="str">
        <f>VLOOKUP(B408,[1]Sheet1!B:N,8,0)</f>
        <v>לוונשטיין טכנולוגיות בע"מ</v>
      </c>
      <c r="H408" t="str">
        <f>VLOOKUP(B408,[1]Sheet1!B:N,5,0)</f>
        <v>01.0572</v>
      </c>
    </row>
    <row r="409" spans="1:8" x14ac:dyDescent="0.3">
      <c r="A409" s="4"/>
      <c r="B409" t="s">
        <v>500</v>
      </c>
      <c r="C409">
        <f>VLOOKUP(B409,[1]Sheet1!B:N,9,0)</f>
        <v>230</v>
      </c>
      <c r="D409" t="str">
        <f>VLOOKUP(B409,[1]Sheet1!B:N,10,0)</f>
        <v>₪</v>
      </c>
      <c r="E409" s="3">
        <f>VLOOKUP(B409,[1]Sheet1!B:N,6,0)</f>
        <v>44664</v>
      </c>
      <c r="F409">
        <v>1</v>
      </c>
      <c r="G409" t="str">
        <f>VLOOKUP(B409,[1]Sheet1!B:N,8,0)</f>
        <v>לוונשטיין טכנולוגיות בע"מ</v>
      </c>
      <c r="H409" t="str">
        <f>VLOOKUP(B409,[1]Sheet1!B:N,5,0)</f>
        <v>01.0572</v>
      </c>
    </row>
    <row r="410" spans="1:8" x14ac:dyDescent="0.3">
      <c r="A410" s="2"/>
      <c r="B410" t="s">
        <v>501</v>
      </c>
      <c r="C410">
        <f>VLOOKUP(B410,[1]Sheet1!B:N,9,0)</f>
        <v>160</v>
      </c>
      <c r="D410" t="str">
        <f>VLOOKUP(B410,[1]Sheet1!B:N,10,0)</f>
        <v>₪</v>
      </c>
      <c r="E410" s="3">
        <f>VLOOKUP(B410,[1]Sheet1!B:N,6,0)</f>
        <v>45579</v>
      </c>
      <c r="F410">
        <v>1</v>
      </c>
      <c r="G410" t="str">
        <f>VLOOKUP(B410,[1]Sheet1!B:N,8,0)</f>
        <v>לוונשטיין טכנולוגיות בע"מ</v>
      </c>
      <c r="H410" t="str">
        <f>VLOOKUP(B410,[1]Sheet1!B:N,5,0)</f>
        <v>01.0216</v>
      </c>
    </row>
    <row r="411" spans="1:8" x14ac:dyDescent="0.3">
      <c r="A411" s="4" t="s">
        <v>285</v>
      </c>
      <c r="B411" t="s">
        <v>502</v>
      </c>
      <c r="C411">
        <f>VLOOKUP(B411,[1]Sheet1!B:N,9,0)</f>
        <v>4.2</v>
      </c>
      <c r="D411" t="str">
        <f>VLOOKUP(B411,[1]Sheet1!B:N,10,0)</f>
        <v>₪</v>
      </c>
      <c r="E411" s="3">
        <f>VLOOKUP(B411,[1]Sheet1!B:N,6,0)</f>
        <v>43696</v>
      </c>
      <c r="F411">
        <v>1</v>
      </c>
      <c r="G411" t="str">
        <f>VLOOKUP(B411,[1]Sheet1!B:N,8,0)</f>
        <v>גין מהנדסים בע"מ</v>
      </c>
      <c r="H411" t="str">
        <f>VLOOKUP(B411,[1]Sheet1!B:N,5,0)</f>
        <v>01.0231</v>
      </c>
    </row>
    <row r="412" spans="1:8" x14ac:dyDescent="0.3">
      <c r="A412" s="4" t="s">
        <v>76</v>
      </c>
      <c r="B412" t="s">
        <v>71</v>
      </c>
      <c r="C412">
        <f>VLOOKUP(B412,[1]Sheet1!B:N,9,0)</f>
        <v>5.5</v>
      </c>
      <c r="D412" t="str">
        <f>VLOOKUP(B412,[1]Sheet1!B:N,10,0)</f>
        <v>₪</v>
      </c>
      <c r="E412" s="3">
        <f>VLOOKUP(B412,[1]Sheet1!B:N,6,0)</f>
        <v>46064</v>
      </c>
      <c r="F412">
        <v>1</v>
      </c>
      <c r="G412" t="str">
        <f>VLOOKUP(B412,[1]Sheet1!B:N,8,0)</f>
        <v>ברמיל בע"מ</v>
      </c>
      <c r="H412" t="str">
        <f>VLOOKUP(B412,[1]Sheet1!B:N,5,0)</f>
        <v>01.0014</v>
      </c>
    </row>
    <row r="413" spans="1:8" x14ac:dyDescent="0.3">
      <c r="A413" s="4" t="s">
        <v>47</v>
      </c>
      <c r="B413" t="s">
        <v>503</v>
      </c>
      <c r="C413">
        <f>VLOOKUP(B413,[1]Sheet1!B:N,9,0)</f>
        <v>0.14230000000000001</v>
      </c>
      <c r="D413" t="str">
        <f>VLOOKUP(B413,[1]Sheet1!B:N,10,0)</f>
        <v>$</v>
      </c>
      <c r="E413" s="3">
        <f>VLOOKUP(B413,[1]Sheet1!B:N,6,0)</f>
        <v>41305</v>
      </c>
      <c r="F413">
        <v>1</v>
      </c>
      <c r="G413" t="str">
        <f>VLOOKUP(B413,[1]Sheet1!B:N,8,0)</f>
        <v>טמבור הפצות בע"מ</v>
      </c>
      <c r="H413" t="str">
        <f>VLOOKUP(B413,[1]Sheet1!B:N,5,0)</f>
        <v>01.0008</v>
      </c>
    </row>
    <row r="414" spans="1:8" x14ac:dyDescent="0.3">
      <c r="A414" s="2" t="s">
        <v>504</v>
      </c>
      <c r="B414" t="s">
        <v>505</v>
      </c>
      <c r="C414">
        <f>VLOOKUP(B414,[1]Sheet1!B:N,9,0)</f>
        <v>5700</v>
      </c>
      <c r="D414" t="str">
        <f>VLOOKUP(B414,[1]Sheet1!B:N,10,0)</f>
        <v>₪</v>
      </c>
      <c r="E414" s="3">
        <f>VLOOKUP(B414,[1]Sheet1!B:N,6,0)</f>
        <v>45172</v>
      </c>
      <c r="F414">
        <v>1</v>
      </c>
      <c r="G414" t="str">
        <f>VLOOKUP(B414,[1]Sheet1!B:N,8,0)</f>
        <v>לוונשטיין טכנולוגיות בע"מ</v>
      </c>
      <c r="H414" t="str">
        <f>VLOOKUP(B414,[1]Sheet1!B:N,5,0)</f>
        <v>01.0615</v>
      </c>
    </row>
    <row r="415" spans="1:8" x14ac:dyDescent="0.3">
      <c r="A415" s="4" t="s">
        <v>218</v>
      </c>
      <c r="B415" t="s">
        <v>506</v>
      </c>
      <c r="C415">
        <f>VLOOKUP(B415,[1]Sheet1!B:N,9,0)</f>
        <v>295</v>
      </c>
      <c r="D415" t="str">
        <f>VLOOKUP(B415,[1]Sheet1!B:N,10,0)</f>
        <v>$</v>
      </c>
      <c r="E415" s="3">
        <f>VLOOKUP(B415,[1]Sheet1!B:N,6,0)</f>
        <v>43956</v>
      </c>
      <c r="F415">
        <v>1</v>
      </c>
      <c r="G415" t="str">
        <f>VLOOKUP(B415,[1]Sheet1!B:N,8,0)</f>
        <v>לשם טכנולוגיות תעשיי</v>
      </c>
      <c r="H415" t="str">
        <f>VLOOKUP(B415,[1]Sheet1!B:N,5,0)</f>
        <v>01.0256</v>
      </c>
    </row>
    <row r="416" spans="1:8" x14ac:dyDescent="0.3">
      <c r="A416" s="4" t="s">
        <v>507</v>
      </c>
      <c r="B416" t="s">
        <v>508</v>
      </c>
      <c r="C416">
        <f>VLOOKUP(B416,[1]Sheet1!B:N,9,0)</f>
        <v>295</v>
      </c>
      <c r="D416" t="str">
        <f>VLOOKUP(B416,[1]Sheet1!B:N,10,0)</f>
        <v>$</v>
      </c>
      <c r="E416" s="3">
        <f>VLOOKUP(B416,[1]Sheet1!B:N,6,0)</f>
        <v>43503</v>
      </c>
      <c r="F416">
        <v>1</v>
      </c>
      <c r="G416" t="str">
        <f>VLOOKUP(B416,[1]Sheet1!B:N,8,0)</f>
        <v>לשם טכנולוגיות תעשיי</v>
      </c>
      <c r="H416" t="str">
        <f>VLOOKUP(B416,[1]Sheet1!B:N,5,0)</f>
        <v>01.0426</v>
      </c>
    </row>
    <row r="417" spans="1:8" x14ac:dyDescent="0.3">
      <c r="A417" s="4" t="s">
        <v>509</v>
      </c>
      <c r="B417" t="s">
        <v>510</v>
      </c>
      <c r="C417">
        <f>VLOOKUP(B417,[1]Sheet1!B:N,9,0)</f>
        <v>0</v>
      </c>
      <c r="D417" t="str">
        <f>VLOOKUP(B417,[1]Sheet1!B:N,10,0)</f>
        <v>₪</v>
      </c>
      <c r="E417" s="3">
        <f>VLOOKUP(B417,[1]Sheet1!B:N,6,0)</f>
        <v>41645</v>
      </c>
      <c r="F417">
        <v>1</v>
      </c>
      <c r="G417" t="str">
        <f>VLOOKUP(B417,[1]Sheet1!B:N,8,0)</f>
        <v>לוונשטיין טכנולוגיות</v>
      </c>
      <c r="H417" t="str">
        <f>VLOOKUP(B417,[1]Sheet1!B:N,5,0)</f>
        <v>01.0152</v>
      </c>
    </row>
    <row r="418" spans="1:8" x14ac:dyDescent="0.3">
      <c r="A418" s="4" t="s">
        <v>509</v>
      </c>
      <c r="B418" t="s">
        <v>511</v>
      </c>
      <c r="C418">
        <f>VLOOKUP(B418,[1]Sheet1!B:N,9,0)</f>
        <v>240</v>
      </c>
      <c r="D418" t="str">
        <f>VLOOKUP(B418,[1]Sheet1!B:N,10,0)</f>
        <v>₪</v>
      </c>
      <c r="E418" s="3">
        <f>VLOOKUP(B418,[1]Sheet1!B:N,6,0)</f>
        <v>45998</v>
      </c>
      <c r="F418">
        <v>1</v>
      </c>
      <c r="G418" t="str">
        <f>VLOOKUP(B418,[1]Sheet1!B:N,8,0)</f>
        <v>מרון יאכטות בע"מ</v>
      </c>
      <c r="H418" t="str">
        <f>VLOOKUP(B418,[1]Sheet1!B:N,5,0)</f>
        <v>01.0152</v>
      </c>
    </row>
    <row r="419" spans="1:8" x14ac:dyDescent="0.3">
      <c r="A419" s="4" t="s">
        <v>512</v>
      </c>
      <c r="B419" t="s">
        <v>513</v>
      </c>
      <c r="C419">
        <f>VLOOKUP(B419,[1]Sheet1!B:N,9,0)</f>
        <v>37</v>
      </c>
      <c r="D419" t="str">
        <f>VLOOKUP(B419,[1]Sheet1!B:N,10,0)</f>
        <v>₪</v>
      </c>
      <c r="E419" s="3">
        <f>VLOOKUP(B419,[1]Sheet1!B:N,6,0)</f>
        <v>45019</v>
      </c>
      <c r="F419">
        <v>1</v>
      </c>
      <c r="G419" t="str">
        <f>VLOOKUP(B419,[1]Sheet1!B:N,8,0)</f>
        <v>גין מהנדסים בע"מ</v>
      </c>
      <c r="H419" t="str">
        <f>VLOOKUP(B419,[1]Sheet1!B:N,5,0)</f>
        <v>01.0431</v>
      </c>
    </row>
    <row r="420" spans="1:8" x14ac:dyDescent="0.3">
      <c r="A420" s="2" t="s">
        <v>514</v>
      </c>
      <c r="B420" t="s">
        <v>53</v>
      </c>
      <c r="C420">
        <f>VLOOKUP(B420,[1]Sheet1!B:N,9,0)</f>
        <v>0.53</v>
      </c>
      <c r="D420" t="str">
        <f>VLOOKUP(B420,[1]Sheet1!B:N,10,0)</f>
        <v>₪</v>
      </c>
      <c r="E420" s="3">
        <f>VLOOKUP(B420,[1]Sheet1!B:N,6,0)</f>
        <v>45089</v>
      </c>
      <c r="F420">
        <v>1</v>
      </c>
      <c r="G420" t="str">
        <f>VLOOKUP(B420,[1]Sheet1!B:N,8,0)</f>
        <v>לוונשטיין טכנולוגיות בע"מ</v>
      </c>
      <c r="H420" t="str">
        <f>VLOOKUP(B420,[1]Sheet1!B:N,5,0)</f>
        <v>01.0008</v>
      </c>
    </row>
    <row r="421" spans="1:8" x14ac:dyDescent="0.3">
      <c r="A421" s="2" t="s">
        <v>36</v>
      </c>
      <c r="C421" t="e">
        <f>VLOOKUP(B421,[1]Sheet1!B:N,9,0)</f>
        <v>#N/A</v>
      </c>
      <c r="D421" t="e">
        <f>VLOOKUP(B421,[1]Sheet1!B:N,10,0)</f>
        <v>#N/A</v>
      </c>
      <c r="E421" s="3" t="e">
        <f>VLOOKUP(B421,[1]Sheet1!B:N,6,0)</f>
        <v>#N/A</v>
      </c>
      <c r="F421">
        <v>1</v>
      </c>
      <c r="G421" t="e">
        <f>VLOOKUP(B421,[1]Sheet1!B:N,8,0)</f>
        <v>#N/A</v>
      </c>
      <c r="H421" t="e">
        <f>VLOOKUP(B421,[1]Sheet1!B:N,5,0)</f>
        <v>#N/A</v>
      </c>
    </row>
    <row r="422" spans="1:8" x14ac:dyDescent="0.3">
      <c r="A422" s="4" t="s">
        <v>67</v>
      </c>
      <c r="B422" t="s">
        <v>515</v>
      </c>
      <c r="C422">
        <f>VLOOKUP(B422,[1]Sheet1!B:N,9,0)</f>
        <v>1.64</v>
      </c>
      <c r="D422" t="str">
        <f>VLOOKUP(B422,[1]Sheet1!B:N,10,0)</f>
        <v>₪</v>
      </c>
      <c r="E422" s="3">
        <f>VLOOKUP(B422,[1]Sheet1!B:N,6,0)</f>
        <v>44518</v>
      </c>
      <c r="F422">
        <v>1</v>
      </c>
      <c r="G422" t="str">
        <f>VLOOKUP(B422,[1]Sheet1!B:N,8,0)</f>
        <v>לוונשטיין טכנולוגיות בע"מ</v>
      </c>
      <c r="H422" t="str">
        <f>VLOOKUP(B422,[1]Sheet1!B:N,5,0)</f>
        <v>01.0356</v>
      </c>
    </row>
    <row r="423" spans="1:8" x14ac:dyDescent="0.3">
      <c r="A423" s="4" t="s">
        <v>516</v>
      </c>
      <c r="B423" t="s">
        <v>517</v>
      </c>
      <c r="C423">
        <f>VLOOKUP(B423,[1]Sheet1!B:N,9,0)</f>
        <v>0.6</v>
      </c>
      <c r="D423" t="str">
        <f>VLOOKUP(B423,[1]Sheet1!B:N,10,0)</f>
        <v>₪</v>
      </c>
      <c r="E423" s="3">
        <f>VLOOKUP(B423,[1]Sheet1!B:N,6,0)</f>
        <v>45438</v>
      </c>
      <c r="F423">
        <v>1</v>
      </c>
      <c r="G423" t="str">
        <f>VLOOKUP(B423,[1]Sheet1!B:N,8,0)</f>
        <v>דר טכנולוגיות בע"מ</v>
      </c>
      <c r="H423" t="str">
        <f>VLOOKUP(B423,[1]Sheet1!B:N,5,0)</f>
        <v>01.0079</v>
      </c>
    </row>
    <row r="424" spans="1:8" x14ac:dyDescent="0.3">
      <c r="A424" s="2" t="s">
        <v>18</v>
      </c>
      <c r="B424" t="s">
        <v>518</v>
      </c>
      <c r="C424">
        <f>VLOOKUP(B424,[1]Sheet1!B:N,9,0)</f>
        <v>0.48</v>
      </c>
      <c r="D424" t="str">
        <f>VLOOKUP(B424,[1]Sheet1!B:N,10,0)</f>
        <v>₪</v>
      </c>
      <c r="E424" s="3">
        <f>VLOOKUP(B424,[1]Sheet1!B:N,6,0)</f>
        <v>46076.421540358795</v>
      </c>
      <c r="F424">
        <v>1</v>
      </c>
      <c r="G424" t="str">
        <f>VLOOKUP(B424,[1]Sheet1!B:N,8,0)</f>
        <v>גין מהנדסים בע"מ</v>
      </c>
      <c r="H424" t="str">
        <f>VLOOKUP(B424,[1]Sheet1!B:N,5,0)</f>
        <v>01.0023</v>
      </c>
    </row>
    <row r="425" spans="1:8" x14ac:dyDescent="0.3">
      <c r="A425" s="4" t="s">
        <v>519</v>
      </c>
      <c r="B425" t="s">
        <v>520</v>
      </c>
      <c r="C425">
        <f>VLOOKUP(B425,[1]Sheet1!B:N,9,0)</f>
        <v>1.3013999999999999</v>
      </c>
      <c r="D425" t="str">
        <f>VLOOKUP(B425,[1]Sheet1!B:N,10,0)</f>
        <v>₪</v>
      </c>
      <c r="E425" s="3">
        <f>VLOOKUP(B425,[1]Sheet1!B:N,6,0)</f>
        <v>41751</v>
      </c>
      <c r="F425">
        <v>1</v>
      </c>
      <c r="G425" t="str">
        <f>VLOOKUP(B425,[1]Sheet1!B:N,8,0)</f>
        <v>לוונשטיין טכנולוגיות</v>
      </c>
      <c r="H425" t="str">
        <f>VLOOKUP(B425,[1]Sheet1!B:N,5,0)</f>
        <v>01.0027</v>
      </c>
    </row>
    <row r="426" spans="1:8" x14ac:dyDescent="0.3">
      <c r="A426" s="4" t="s">
        <v>521</v>
      </c>
      <c r="B426" t="s">
        <v>522</v>
      </c>
      <c r="C426">
        <f>VLOOKUP(B426,[1]Sheet1!B:N,9,0)</f>
        <v>2.1</v>
      </c>
      <c r="D426" t="str">
        <f>VLOOKUP(B426,[1]Sheet1!B:N,10,0)</f>
        <v>₪</v>
      </c>
      <c r="E426" s="3">
        <f>VLOOKUP(B426,[1]Sheet1!B:N,6,0)</f>
        <v>44662</v>
      </c>
      <c r="F426">
        <v>1</v>
      </c>
      <c r="G426" t="str">
        <f>VLOOKUP(B426,[1]Sheet1!B:N,8,0)</f>
        <v>לוונשטיין טכנולוגיות בע"מ</v>
      </c>
      <c r="H426" t="str">
        <f>VLOOKUP(B426,[1]Sheet1!B:N,5,0)</f>
        <v>01.0570</v>
      </c>
    </row>
    <row r="427" spans="1:8" x14ac:dyDescent="0.3">
      <c r="A427" s="2" t="s">
        <v>523</v>
      </c>
      <c r="B427" t="s">
        <v>524</v>
      </c>
      <c r="C427">
        <f>VLOOKUP(B427,[1]Sheet1!B:N,9,0)</f>
        <v>32</v>
      </c>
      <c r="D427" t="str">
        <f>VLOOKUP(B427,[1]Sheet1!B:N,10,0)</f>
        <v>₪</v>
      </c>
      <c r="E427" s="3">
        <f>VLOOKUP(B427,[1]Sheet1!B:N,6,0)</f>
        <v>46058</v>
      </c>
      <c r="F427">
        <v>1</v>
      </c>
      <c r="G427" t="str">
        <f>VLOOKUP(B427,[1]Sheet1!B:N,8,0)</f>
        <v>גין מהנדסים בע"מ</v>
      </c>
      <c r="H427" t="str">
        <f>VLOOKUP(B427,[1]Sheet1!B:N,5,0)</f>
        <v>01.0417</v>
      </c>
    </row>
    <row r="428" spans="1:8" x14ac:dyDescent="0.3">
      <c r="A428" s="4" t="s">
        <v>525</v>
      </c>
      <c r="B428" t="s">
        <v>526</v>
      </c>
      <c r="C428">
        <f>VLOOKUP(B428,[1]Sheet1!B:N,9,0)</f>
        <v>4.95</v>
      </c>
      <c r="D428" t="str">
        <f>VLOOKUP(B428,[1]Sheet1!B:N,10,0)</f>
        <v>₪</v>
      </c>
      <c r="E428" s="3">
        <f>VLOOKUP(B428,[1]Sheet1!B:N,6,0)</f>
        <v>44319</v>
      </c>
      <c r="F428">
        <v>1</v>
      </c>
      <c r="G428" t="str">
        <f>VLOOKUP(B428,[1]Sheet1!B:N,8,0)</f>
        <v>דר טכנולוגיות בע"מ</v>
      </c>
      <c r="H428" t="str">
        <f>VLOOKUP(B428,[1]Sheet1!B:N,5,0)</f>
        <v>01.0509</v>
      </c>
    </row>
    <row r="429" spans="1:8" x14ac:dyDescent="0.3">
      <c r="A429" s="4" t="s">
        <v>525</v>
      </c>
      <c r="B429" t="s">
        <v>527</v>
      </c>
      <c r="C429">
        <f>VLOOKUP(B429,[1]Sheet1!B:N,9,0)</f>
        <v>4.8</v>
      </c>
      <c r="D429" t="str">
        <f>VLOOKUP(B429,[1]Sheet1!B:N,10,0)</f>
        <v>₪</v>
      </c>
      <c r="E429" s="3">
        <f>VLOOKUP(B429,[1]Sheet1!B:N,6,0)</f>
        <v>43956</v>
      </c>
      <c r="F429">
        <v>1</v>
      </c>
      <c r="G429" t="str">
        <f>VLOOKUP(B429,[1]Sheet1!B:N,8,0)</f>
        <v>גין מהנדסים בע"מ</v>
      </c>
      <c r="H429" t="str">
        <f>VLOOKUP(B429,[1]Sheet1!B:N,5,0)</f>
        <v>01.0509</v>
      </c>
    </row>
    <row r="430" spans="1:8" x14ac:dyDescent="0.3">
      <c r="A430" s="4" t="s">
        <v>528</v>
      </c>
      <c r="B430" t="s">
        <v>529</v>
      </c>
      <c r="C430">
        <f>VLOOKUP(B430,[1]Sheet1!B:N,9,0)</f>
        <v>4</v>
      </c>
      <c r="D430" t="str">
        <f>VLOOKUP(B430,[1]Sheet1!B:N,10,0)</f>
        <v>₪</v>
      </c>
      <c r="E430" s="3">
        <f>VLOOKUP(B430,[1]Sheet1!B:N,6,0)</f>
        <v>43956</v>
      </c>
      <c r="F430">
        <v>1</v>
      </c>
      <c r="G430" t="str">
        <f>VLOOKUP(B430,[1]Sheet1!B:N,8,0)</f>
        <v>גין מהנדסים בע"מ</v>
      </c>
      <c r="H430" t="str">
        <f>VLOOKUP(B430,[1]Sheet1!B:N,5,0)</f>
        <v>01.0510</v>
      </c>
    </row>
    <row r="431" spans="1:8" x14ac:dyDescent="0.3">
      <c r="A431" s="2" t="s">
        <v>530</v>
      </c>
      <c r="B431" t="s">
        <v>98</v>
      </c>
      <c r="C431">
        <f>VLOOKUP(B431,[1]Sheet1!B:N,9,0)</f>
        <v>12</v>
      </c>
      <c r="D431" t="str">
        <f>VLOOKUP(B431,[1]Sheet1!B:N,10,0)</f>
        <v>₪</v>
      </c>
      <c r="E431" s="3">
        <f>VLOOKUP(B431,[1]Sheet1!B:N,6,0)</f>
        <v>45762</v>
      </c>
      <c r="F431">
        <v>1</v>
      </c>
      <c r="G431" t="str">
        <f>VLOOKUP(B431,[1]Sheet1!B:N,8,0)</f>
        <v>גין מהנדסים בע"מ</v>
      </c>
      <c r="H431" t="str">
        <f>VLOOKUP(B431,[1]Sheet1!B:N,5,0)</f>
        <v>01.0161</v>
      </c>
    </row>
    <row r="432" spans="1:8" x14ac:dyDescent="0.3">
      <c r="A432" s="4" t="s">
        <v>139</v>
      </c>
      <c r="B432" t="s">
        <v>531</v>
      </c>
      <c r="C432">
        <f>VLOOKUP(B432,[1]Sheet1!B:N,9,0)</f>
        <v>17</v>
      </c>
      <c r="D432" t="str">
        <f>VLOOKUP(B432,[1]Sheet1!B:N,10,0)</f>
        <v>₪</v>
      </c>
      <c r="E432" s="3">
        <f>VLOOKUP(B432,[1]Sheet1!B:N,6,0)</f>
        <v>45019</v>
      </c>
      <c r="F432">
        <v>1</v>
      </c>
      <c r="G432" t="str">
        <f>VLOOKUP(B432,[1]Sheet1!B:N,8,0)</f>
        <v>לוונשטיין טכנולוגיות בע"מ</v>
      </c>
      <c r="H432" t="str">
        <f>VLOOKUP(B432,[1]Sheet1!B:N,5,0)</f>
        <v>01.0409</v>
      </c>
    </row>
    <row r="433" spans="1:8" x14ac:dyDescent="0.3">
      <c r="A433" s="4" t="s">
        <v>139</v>
      </c>
      <c r="B433" t="s">
        <v>532</v>
      </c>
      <c r="C433">
        <f>VLOOKUP(B433,[1]Sheet1!B:N,9,0)</f>
        <v>17</v>
      </c>
      <c r="D433" t="str">
        <f>VLOOKUP(B433,[1]Sheet1!B:N,10,0)</f>
        <v>₪</v>
      </c>
      <c r="E433" s="3">
        <f>VLOOKUP(B433,[1]Sheet1!B:N,6,0)</f>
        <v>44360</v>
      </c>
      <c r="F433">
        <v>1</v>
      </c>
      <c r="G433" t="str">
        <f>VLOOKUP(B433,[1]Sheet1!B:N,8,0)</f>
        <v>גין מהנדסים בע"מ</v>
      </c>
      <c r="H433" t="str">
        <f>VLOOKUP(B433,[1]Sheet1!B:N,5,0)</f>
        <v>01.0409</v>
      </c>
    </row>
    <row r="434" spans="1:8" x14ac:dyDescent="0.3">
      <c r="A434" s="2" t="s">
        <v>533</v>
      </c>
      <c r="B434" t="s">
        <v>534</v>
      </c>
      <c r="C434">
        <f>VLOOKUP(B434,[1]Sheet1!B:N,9,0)</f>
        <v>10</v>
      </c>
      <c r="D434" t="str">
        <f>VLOOKUP(B434,[1]Sheet1!B:N,10,0)</f>
        <v>₪</v>
      </c>
      <c r="E434" s="3">
        <f>VLOOKUP(B434,[1]Sheet1!B:N,6,0)</f>
        <v>45439</v>
      </c>
      <c r="F434">
        <v>1</v>
      </c>
      <c r="G434" t="str">
        <f>VLOOKUP(B434,[1]Sheet1!B:N,8,0)</f>
        <v>גין מהנדסים בע"מ</v>
      </c>
      <c r="H434" t="str">
        <f>VLOOKUP(B434,[1]Sheet1!B:N,5,0)</f>
        <v>01.0139</v>
      </c>
    </row>
    <row r="435" spans="1:8" x14ac:dyDescent="0.3">
      <c r="A435" s="4" t="s">
        <v>533</v>
      </c>
      <c r="B435" t="s">
        <v>535</v>
      </c>
      <c r="C435">
        <f>VLOOKUP(B435,[1]Sheet1!B:N,9,0)</f>
        <v>10</v>
      </c>
      <c r="D435" t="str">
        <f>VLOOKUP(B435,[1]Sheet1!B:N,10,0)</f>
        <v>₪</v>
      </c>
      <c r="E435" s="3">
        <f>VLOOKUP(B435,[1]Sheet1!B:N,6,0)</f>
        <v>46042</v>
      </c>
      <c r="F435">
        <v>1</v>
      </c>
      <c r="G435" t="str">
        <f>VLOOKUP(B435,[1]Sheet1!B:N,8,0)</f>
        <v>גין מהנדסים בע"מ</v>
      </c>
      <c r="H435" t="str">
        <f>VLOOKUP(B435,[1]Sheet1!B:N,5,0)</f>
        <v>01.0139</v>
      </c>
    </row>
    <row r="436" spans="1:8" x14ac:dyDescent="0.3">
      <c r="A436" s="4" t="s">
        <v>533</v>
      </c>
      <c r="B436" t="s">
        <v>536</v>
      </c>
      <c r="C436">
        <f>VLOOKUP(B436,[1]Sheet1!B:N,9,0)</f>
        <v>18.600000000000001</v>
      </c>
      <c r="D436" t="str">
        <f>VLOOKUP(B436,[1]Sheet1!B:N,10,0)</f>
        <v>₪</v>
      </c>
      <c r="E436" s="3">
        <f>VLOOKUP(B436,[1]Sheet1!B:N,6,0)</f>
        <v>45620</v>
      </c>
      <c r="F436">
        <v>1</v>
      </c>
      <c r="G436" t="str">
        <f>VLOOKUP(B436,[1]Sheet1!B:N,8,0)</f>
        <v>דר טכנולוגיות בע"מ</v>
      </c>
      <c r="H436" t="str">
        <f>VLOOKUP(B436,[1]Sheet1!B:N,5,0)</f>
        <v>01.0218</v>
      </c>
    </row>
    <row r="437" spans="1:8" x14ac:dyDescent="0.3">
      <c r="A437" s="2" t="s">
        <v>537</v>
      </c>
      <c r="B437" t="s">
        <v>538</v>
      </c>
      <c r="C437">
        <f>VLOOKUP(B437,[1]Sheet1!B:N,9,0)</f>
        <v>13.2</v>
      </c>
      <c r="D437" t="str">
        <f>VLOOKUP(B437,[1]Sheet1!B:N,10,0)</f>
        <v>₪</v>
      </c>
      <c r="E437" s="3">
        <f>VLOOKUP(B437,[1]Sheet1!B:N,6,0)</f>
        <v>44696</v>
      </c>
      <c r="F437">
        <v>1</v>
      </c>
      <c r="G437" t="str">
        <f>VLOOKUP(B437,[1]Sheet1!B:N,8,0)</f>
        <v>לוונשטיין טכנולוגיות בע"מ</v>
      </c>
      <c r="H437" t="str">
        <f>VLOOKUP(B437,[1]Sheet1!B:N,5,0)</f>
        <v>01.0573</v>
      </c>
    </row>
    <row r="438" spans="1:8" x14ac:dyDescent="0.3">
      <c r="A438" s="4" t="s">
        <v>539</v>
      </c>
      <c r="B438" t="s">
        <v>540</v>
      </c>
      <c r="C438">
        <f>VLOOKUP(B438,[1]Sheet1!B:N,9,0)</f>
        <v>35.927399999999999</v>
      </c>
      <c r="D438" t="str">
        <f>VLOOKUP(B438,[1]Sheet1!B:N,10,0)</f>
        <v>₪</v>
      </c>
      <c r="E438" s="3">
        <f>VLOOKUP(B438,[1]Sheet1!B:N,6,0)</f>
        <v>42751</v>
      </c>
      <c r="F438">
        <v>1</v>
      </c>
      <c r="G438" t="str">
        <f>VLOOKUP(B438,[1]Sheet1!B:N,8,0)</f>
        <v>גין מהנדסים בע"מ</v>
      </c>
      <c r="H438" t="str">
        <f>VLOOKUP(B438,[1]Sheet1!B:N,5,0)</f>
        <v>01.0140-1</v>
      </c>
    </row>
    <row r="439" spans="1:8" x14ac:dyDescent="0.3">
      <c r="A439" s="2" t="s">
        <v>539</v>
      </c>
      <c r="B439" t="s">
        <v>541</v>
      </c>
      <c r="C439">
        <f>VLOOKUP(B439,[1]Sheet1!B:N,9,0)</f>
        <v>21</v>
      </c>
      <c r="D439" t="str">
        <f>VLOOKUP(B439,[1]Sheet1!B:N,10,0)</f>
        <v>₪</v>
      </c>
      <c r="E439" s="3">
        <f>VLOOKUP(B439,[1]Sheet1!B:N,6,0)</f>
        <v>45439</v>
      </c>
      <c r="F439">
        <v>1</v>
      </c>
      <c r="G439" t="str">
        <f>VLOOKUP(B439,[1]Sheet1!B:N,8,0)</f>
        <v>גין מהנדסים בע"מ</v>
      </c>
      <c r="H439" t="str">
        <f>VLOOKUP(B439,[1]Sheet1!B:N,5,0)</f>
        <v>01.0327</v>
      </c>
    </row>
    <row r="440" spans="1:8" x14ac:dyDescent="0.3">
      <c r="A440" s="4" t="s">
        <v>539</v>
      </c>
      <c r="B440" t="s">
        <v>542</v>
      </c>
      <c r="C440">
        <f>VLOOKUP(B440,[1]Sheet1!B:N,9,0)</f>
        <v>21</v>
      </c>
      <c r="D440" t="str">
        <f>VLOOKUP(B440,[1]Sheet1!B:N,10,0)</f>
        <v>₪</v>
      </c>
      <c r="E440" s="3">
        <f>VLOOKUP(B440,[1]Sheet1!B:N,6,0)</f>
        <v>45767</v>
      </c>
      <c r="F440">
        <v>1</v>
      </c>
      <c r="G440" t="str">
        <f>VLOOKUP(B440,[1]Sheet1!B:N,8,0)</f>
        <v>גין מהנדסים בע"מ</v>
      </c>
      <c r="H440" t="str">
        <f>VLOOKUP(B440,[1]Sheet1!B:N,5,0)</f>
        <v>01.0327</v>
      </c>
    </row>
    <row r="441" spans="1:8" x14ac:dyDescent="0.3">
      <c r="A441" s="4" t="s">
        <v>543</v>
      </c>
      <c r="B441" t="s">
        <v>544</v>
      </c>
      <c r="C441">
        <f>VLOOKUP(B441,[1]Sheet1!B:N,9,0)</f>
        <v>22</v>
      </c>
      <c r="D441" t="str">
        <f>VLOOKUP(B441,[1]Sheet1!B:N,10,0)</f>
        <v>₪</v>
      </c>
      <c r="E441" s="3">
        <f>VLOOKUP(B441,[1]Sheet1!B:N,6,0)</f>
        <v>45449</v>
      </c>
      <c r="F441">
        <v>1</v>
      </c>
      <c r="G441" t="str">
        <f>VLOOKUP(B441,[1]Sheet1!B:N,8,0)</f>
        <v>לוונשטיין טכנולוגיות בע"מ</v>
      </c>
      <c r="H441" t="str">
        <f>VLOOKUP(B441,[1]Sheet1!B:N,5,0)</f>
        <v>01.0262</v>
      </c>
    </row>
    <row r="442" spans="1:8" x14ac:dyDescent="0.3">
      <c r="A442" s="4" t="s">
        <v>545</v>
      </c>
      <c r="B442" t="s">
        <v>546</v>
      </c>
      <c r="C442">
        <f>VLOOKUP(B442,[1]Sheet1!B:N,9,0)</f>
        <v>5.5</v>
      </c>
      <c r="D442" t="str">
        <f>VLOOKUP(B442,[1]Sheet1!B:N,10,0)</f>
        <v>₪</v>
      </c>
      <c r="E442" s="3">
        <f>VLOOKUP(B442,[1]Sheet1!B:N,6,0)</f>
        <v>45705</v>
      </c>
      <c r="F442">
        <v>1</v>
      </c>
      <c r="G442" t="str">
        <f>VLOOKUP(B442,[1]Sheet1!B:N,8,0)</f>
        <v>גין מהנדסים בע"מ</v>
      </c>
      <c r="H442" t="str">
        <f>VLOOKUP(B442,[1]Sheet1!B:N,5,0)</f>
        <v>01.0268</v>
      </c>
    </row>
    <row r="443" spans="1:8" x14ac:dyDescent="0.3">
      <c r="A443" s="4" t="s">
        <v>545</v>
      </c>
      <c r="B443" t="s">
        <v>547</v>
      </c>
      <c r="C443">
        <f>VLOOKUP(B443,[1]Sheet1!B:N,9,0)</f>
        <v>5.5</v>
      </c>
      <c r="D443" t="str">
        <f>VLOOKUP(B443,[1]Sheet1!B:N,10,0)</f>
        <v>₪</v>
      </c>
      <c r="E443" s="3">
        <f>VLOOKUP(B443,[1]Sheet1!B:N,6,0)</f>
        <v>45747</v>
      </c>
      <c r="F443">
        <v>1</v>
      </c>
      <c r="G443" t="str">
        <f>VLOOKUP(B443,[1]Sheet1!B:N,8,0)</f>
        <v>גין מהנדסים בע"מ</v>
      </c>
      <c r="H443" t="str">
        <f>VLOOKUP(B443,[1]Sheet1!B:N,5,0)</f>
        <v>01.0268</v>
      </c>
    </row>
    <row r="444" spans="1:8" x14ac:dyDescent="0.3">
      <c r="A444" s="4" t="s">
        <v>548</v>
      </c>
      <c r="B444" t="s">
        <v>549</v>
      </c>
      <c r="C444">
        <f>VLOOKUP(B444,[1]Sheet1!B:N,9,0)</f>
        <v>24</v>
      </c>
      <c r="D444" t="str">
        <f>VLOOKUP(B444,[1]Sheet1!B:N,10,0)</f>
        <v>₪</v>
      </c>
      <c r="E444" s="3">
        <f>VLOOKUP(B444,[1]Sheet1!B:N,6,0)</f>
        <v>45887</v>
      </c>
      <c r="F444">
        <v>1</v>
      </c>
      <c r="G444" t="str">
        <f>VLOOKUP(B444,[1]Sheet1!B:N,8,0)</f>
        <v>לוונשטיין טכנולוגיות בע"מ</v>
      </c>
      <c r="H444" t="str">
        <f>VLOOKUP(B444,[1]Sheet1!B:N,5,0)</f>
        <v>01.0274</v>
      </c>
    </row>
    <row r="445" spans="1:8" x14ac:dyDescent="0.3">
      <c r="A445" s="4" t="s">
        <v>119</v>
      </c>
      <c r="B445" t="s">
        <v>550</v>
      </c>
      <c r="C445">
        <f>VLOOKUP(B445,[1]Sheet1!B:N,9,0)</f>
        <v>6.57</v>
      </c>
      <c r="D445" t="str">
        <f>VLOOKUP(B445,[1]Sheet1!B:N,10,0)</f>
        <v>₪</v>
      </c>
      <c r="E445" s="3">
        <f>VLOOKUP(B445,[1]Sheet1!B:N,6,0)</f>
        <v>43963</v>
      </c>
      <c r="F445">
        <v>1</v>
      </c>
      <c r="G445" t="str">
        <f>VLOOKUP(B445,[1]Sheet1!B:N,8,0)</f>
        <v>ברמיל בע"מ</v>
      </c>
      <c r="H445" t="str">
        <f>VLOOKUP(B445,[1]Sheet1!B:N,5,0)</f>
        <v>01.0273</v>
      </c>
    </row>
    <row r="446" spans="1:8" x14ac:dyDescent="0.3">
      <c r="A446" s="4" t="s">
        <v>551</v>
      </c>
      <c r="B446" t="s">
        <v>292</v>
      </c>
      <c r="C446">
        <f>VLOOKUP(B446,[1]Sheet1!B:N,9,0)</f>
        <v>5.9</v>
      </c>
      <c r="D446" t="str">
        <f>VLOOKUP(B446,[1]Sheet1!B:N,10,0)</f>
        <v>₪</v>
      </c>
      <c r="E446" s="3">
        <f>VLOOKUP(B446,[1]Sheet1!B:N,6,0)</f>
        <v>46049</v>
      </c>
      <c r="F446">
        <v>1</v>
      </c>
      <c r="G446" t="str">
        <f>VLOOKUP(B446,[1]Sheet1!B:N,8,0)</f>
        <v>גין מהנדסים בע"מ</v>
      </c>
      <c r="H446" t="str">
        <f>VLOOKUP(B446,[1]Sheet1!B:N,5,0)</f>
        <v>01.0131</v>
      </c>
    </row>
    <row r="447" spans="1:8" x14ac:dyDescent="0.3">
      <c r="A447" s="4" t="s">
        <v>552</v>
      </c>
      <c r="B447" t="s">
        <v>122</v>
      </c>
      <c r="C447">
        <f>VLOOKUP(B447,[1]Sheet1!B:N,9,0)</f>
        <v>0</v>
      </c>
      <c r="D447" t="str">
        <f>VLOOKUP(B447,[1]Sheet1!B:N,10,0)</f>
        <v>₪</v>
      </c>
      <c r="E447" s="3">
        <f>VLOOKUP(B447,[1]Sheet1!B:N,6,0)</f>
        <v>42177</v>
      </c>
      <c r="F447">
        <v>1</v>
      </c>
      <c r="G447" t="str">
        <f>VLOOKUP(B447,[1]Sheet1!B:N,8,0)</f>
        <v>גין מהנדסים בע"מ</v>
      </c>
      <c r="H447" t="str">
        <f>VLOOKUP(B447,[1]Sheet1!B:N,5,0)</f>
        <v>01.0278</v>
      </c>
    </row>
    <row r="448" spans="1:8" x14ac:dyDescent="0.3">
      <c r="A448" s="4" t="s">
        <v>176</v>
      </c>
      <c r="B448" t="s">
        <v>553</v>
      </c>
      <c r="C448">
        <f>VLOOKUP(B448,[1]Sheet1!B:N,9,0)</f>
        <v>26</v>
      </c>
      <c r="D448" t="str">
        <f>VLOOKUP(B448,[1]Sheet1!B:N,10,0)</f>
        <v>₪</v>
      </c>
      <c r="E448" s="3">
        <f>VLOOKUP(B448,[1]Sheet1!B:N,6,0)</f>
        <v>43783</v>
      </c>
      <c r="F448">
        <v>1</v>
      </c>
      <c r="G448" t="str">
        <f>VLOOKUP(B448,[1]Sheet1!B:N,8,0)</f>
        <v>גין מהנדסים בע"מ</v>
      </c>
      <c r="H448" t="str">
        <f>VLOOKUP(B448,[1]Sheet1!B:N,5,0)</f>
        <v>01.0015</v>
      </c>
    </row>
    <row r="449" spans="1:8" x14ac:dyDescent="0.3">
      <c r="A449" s="4" t="s">
        <v>554</v>
      </c>
      <c r="B449" t="s">
        <v>555</v>
      </c>
      <c r="C449">
        <f>VLOOKUP(B449,[1]Sheet1!B:N,9,0)</f>
        <v>6.75</v>
      </c>
      <c r="D449" t="str">
        <f>VLOOKUP(B449,[1]Sheet1!B:N,10,0)</f>
        <v>₪</v>
      </c>
      <c r="E449" s="3">
        <f>VLOOKUP(B449,[1]Sheet1!B:N,6,0)</f>
        <v>43845</v>
      </c>
      <c r="F449">
        <v>1</v>
      </c>
      <c r="G449" t="str">
        <f>VLOOKUP(B449,[1]Sheet1!B:N,8,0)</f>
        <v>ברמיל בע"מ</v>
      </c>
      <c r="H449" t="str">
        <f>VLOOKUP(B449,[1]Sheet1!B:N,5,0)</f>
        <v>01.0498</v>
      </c>
    </row>
    <row r="450" spans="1:8" x14ac:dyDescent="0.3">
      <c r="A450" s="4" t="s">
        <v>556</v>
      </c>
      <c r="B450" t="s">
        <v>557</v>
      </c>
      <c r="C450">
        <f>VLOOKUP(B450,[1]Sheet1!B:N,9,0)</f>
        <v>7.5</v>
      </c>
      <c r="D450" t="str">
        <f>VLOOKUP(B450,[1]Sheet1!B:N,10,0)</f>
        <v>₪</v>
      </c>
      <c r="E450" s="3">
        <f>VLOOKUP(B450,[1]Sheet1!B:N,6,0)</f>
        <v>45561</v>
      </c>
      <c r="F450">
        <v>1</v>
      </c>
      <c r="G450" t="str">
        <f>VLOOKUP(B450,[1]Sheet1!B:N,8,0)</f>
        <v>גין מהנדסים בע"מ</v>
      </c>
      <c r="H450" t="str">
        <f>VLOOKUP(B450,[1]Sheet1!B:N,5,0)</f>
        <v>01.0257</v>
      </c>
    </row>
    <row r="451" spans="1:8" x14ac:dyDescent="0.3">
      <c r="A451" s="4" t="s">
        <v>558</v>
      </c>
      <c r="B451" t="s">
        <v>559</v>
      </c>
      <c r="C451">
        <f>VLOOKUP(B451,[1]Sheet1!B:N,9,0)</f>
        <v>15</v>
      </c>
      <c r="D451" t="str">
        <f>VLOOKUP(B451,[1]Sheet1!B:N,10,0)</f>
        <v>₪</v>
      </c>
      <c r="E451" s="3">
        <f>VLOOKUP(B451,[1]Sheet1!B:N,6,0)</f>
        <v>45369</v>
      </c>
      <c r="F451">
        <v>1</v>
      </c>
      <c r="G451" t="str">
        <f>VLOOKUP(B451,[1]Sheet1!B:N,8,0)</f>
        <v>גין מהנדסים בע"מ</v>
      </c>
      <c r="H451" t="str">
        <f>VLOOKUP(B451,[1]Sheet1!B:N,5,0)</f>
        <v>01.0648</v>
      </c>
    </row>
    <row r="452" spans="1:8" x14ac:dyDescent="0.3">
      <c r="A452" s="4" t="s">
        <v>20</v>
      </c>
      <c r="B452" t="s">
        <v>44</v>
      </c>
      <c r="C452">
        <f>VLOOKUP(B452,[1]Sheet1!B:N,9,0)</f>
        <v>5.4</v>
      </c>
      <c r="D452" t="str">
        <f>VLOOKUP(B452,[1]Sheet1!B:N,10,0)</f>
        <v>₪</v>
      </c>
      <c r="E452" s="3">
        <f>VLOOKUP(B452,[1]Sheet1!B:N,6,0)</f>
        <v>46064</v>
      </c>
      <c r="F452">
        <v>1</v>
      </c>
      <c r="G452" t="str">
        <f>VLOOKUP(B452,[1]Sheet1!B:N,8,0)</f>
        <v>ברמיל בע"מ</v>
      </c>
      <c r="H452" t="str">
        <f>VLOOKUP(B452,[1]Sheet1!B:N,5,0)</f>
        <v>01.0004</v>
      </c>
    </row>
    <row r="453" spans="1:8" x14ac:dyDescent="0.3">
      <c r="A453" s="4" t="s">
        <v>50</v>
      </c>
      <c r="C453" t="e">
        <f>VLOOKUP(B453,[1]Sheet1!B:N,9,0)</f>
        <v>#N/A</v>
      </c>
      <c r="D453" t="e">
        <f>VLOOKUP(B453,[1]Sheet1!B:N,10,0)</f>
        <v>#N/A</v>
      </c>
      <c r="E453" s="3" t="e">
        <f>VLOOKUP(B453,[1]Sheet1!B:N,6,0)</f>
        <v>#N/A</v>
      </c>
      <c r="F453">
        <v>1</v>
      </c>
      <c r="G453" t="e">
        <f>VLOOKUP(B453,[1]Sheet1!B:N,8,0)</f>
        <v>#N/A</v>
      </c>
      <c r="H453" t="e">
        <f>VLOOKUP(B453,[1]Sheet1!B:N,5,0)</f>
        <v>#N/A</v>
      </c>
    </row>
    <row r="454" spans="1:8" x14ac:dyDescent="0.3">
      <c r="A454" s="4" t="s">
        <v>50</v>
      </c>
      <c r="B454" t="s">
        <v>560</v>
      </c>
      <c r="C454">
        <f>VLOOKUP(B454,[1]Sheet1!B:N,9,0)</f>
        <v>0</v>
      </c>
      <c r="D454" t="str">
        <f>VLOOKUP(B454,[1]Sheet1!B:N,10,0)</f>
        <v>₪</v>
      </c>
      <c r="E454" s="3">
        <f>VLOOKUP(B454,[1]Sheet1!B:N,6,0)</f>
        <v>41406</v>
      </c>
      <c r="F454">
        <v>1</v>
      </c>
      <c r="G454" t="str">
        <f>VLOOKUP(B454,[1]Sheet1!B:N,8,0)</f>
        <v>מלאי מקומי בע"מ</v>
      </c>
      <c r="H454" t="str">
        <f>VLOOKUP(B454,[1]Sheet1!B:N,5,0)</f>
        <v>01.0003</v>
      </c>
    </row>
    <row r="455" spans="1:8" x14ac:dyDescent="0.3">
      <c r="A455" s="4" t="s">
        <v>561</v>
      </c>
      <c r="B455" t="s">
        <v>562</v>
      </c>
      <c r="C455">
        <f>VLOOKUP(B455,[1]Sheet1!B:N,9,0)</f>
        <v>8.5</v>
      </c>
      <c r="D455" t="str">
        <f>VLOOKUP(B455,[1]Sheet1!B:N,10,0)</f>
        <v>₪</v>
      </c>
      <c r="E455" s="3">
        <f>VLOOKUP(B455,[1]Sheet1!B:N,6,0)</f>
        <v>44255</v>
      </c>
      <c r="F455">
        <v>1</v>
      </c>
      <c r="G455" t="str">
        <f>VLOOKUP(B455,[1]Sheet1!B:N,8,0)</f>
        <v>גין מהנדסים בע"מ</v>
      </c>
      <c r="H455" t="str">
        <f>VLOOKUP(B455,[1]Sheet1!B:N,5,0)</f>
        <v>01.0531</v>
      </c>
    </row>
    <row r="456" spans="1:8" x14ac:dyDescent="0.3">
      <c r="A456" s="4" t="s">
        <v>563</v>
      </c>
      <c r="B456" t="s">
        <v>96</v>
      </c>
      <c r="C456">
        <f>VLOOKUP(B456,[1]Sheet1!B:N,9,0)</f>
        <v>6.5</v>
      </c>
      <c r="D456" t="str">
        <f>VLOOKUP(B456,[1]Sheet1!B:N,10,0)</f>
        <v>₪</v>
      </c>
      <c r="E456" s="3">
        <f>VLOOKUP(B456,[1]Sheet1!B:N,6,0)</f>
        <v>45739</v>
      </c>
      <c r="F456">
        <v>1</v>
      </c>
      <c r="G456" t="str">
        <f>VLOOKUP(B456,[1]Sheet1!B:N,8,0)</f>
        <v>לוונשטיין טכנולוגיות בע"מ</v>
      </c>
      <c r="H456" t="str">
        <f>VLOOKUP(B456,[1]Sheet1!B:N,5,0)</f>
        <v>01.0254</v>
      </c>
    </row>
    <row r="457" spans="1:8" x14ac:dyDescent="0.3">
      <c r="A457" s="2" t="s">
        <v>564</v>
      </c>
      <c r="B457" t="s">
        <v>141</v>
      </c>
      <c r="C457">
        <f>VLOOKUP(B457,[1]Sheet1!B:N,9,0)</f>
        <v>7.5</v>
      </c>
      <c r="D457" t="str">
        <f>VLOOKUP(B457,[1]Sheet1!B:N,10,0)</f>
        <v>₪</v>
      </c>
      <c r="E457" s="3">
        <f>VLOOKUP(B457,[1]Sheet1!B:N,6,0)</f>
        <v>46064</v>
      </c>
      <c r="F457">
        <v>1</v>
      </c>
      <c r="G457" t="str">
        <f>VLOOKUP(B457,[1]Sheet1!B:N,8,0)</f>
        <v>ברמיל בע"מ</v>
      </c>
      <c r="H457" t="str">
        <f>VLOOKUP(B457,[1]Sheet1!B:N,5,0)</f>
        <v>01.0536</v>
      </c>
    </row>
    <row r="458" spans="1:8" x14ac:dyDescent="0.3">
      <c r="A458" s="4" t="s">
        <v>565</v>
      </c>
      <c r="B458" t="s">
        <v>566</v>
      </c>
      <c r="C458">
        <f>VLOOKUP(B458,[1]Sheet1!B:N,9,0)</f>
        <v>12.4</v>
      </c>
      <c r="D458" t="str">
        <f>VLOOKUP(B458,[1]Sheet1!B:N,10,0)</f>
        <v>₪</v>
      </c>
      <c r="E458" s="3">
        <f>VLOOKUP(B458,[1]Sheet1!B:N,6,0)</f>
        <v>45767</v>
      </c>
      <c r="F458">
        <v>1</v>
      </c>
      <c r="G458" t="str">
        <f>VLOOKUP(B458,[1]Sheet1!B:N,8,0)</f>
        <v>לוונשטיין טכנולוגיות בע"מ</v>
      </c>
      <c r="H458" t="str">
        <f>VLOOKUP(B458,[1]Sheet1!B:N,5,0)</f>
        <v>01.0722</v>
      </c>
    </row>
    <row r="459" spans="1:8" x14ac:dyDescent="0.3">
      <c r="A459" s="4" t="s">
        <v>567</v>
      </c>
      <c r="B459" t="s">
        <v>568</v>
      </c>
      <c r="C459">
        <f>VLOOKUP(B459,[1]Sheet1!B:N,9,0)</f>
        <v>0.65</v>
      </c>
      <c r="D459" t="str">
        <f>VLOOKUP(B459,[1]Sheet1!B:N,10,0)</f>
        <v>₪</v>
      </c>
      <c r="E459" s="3">
        <f>VLOOKUP(B459,[1]Sheet1!B:N,6,0)</f>
        <v>45858</v>
      </c>
      <c r="F459">
        <v>1</v>
      </c>
      <c r="G459" t="str">
        <f>VLOOKUP(B459,[1]Sheet1!B:N,8,0)</f>
        <v>דר טכנולוגיות בע"מ</v>
      </c>
      <c r="H459" t="str">
        <f>VLOOKUP(B459,[1]Sheet1!B:N,5,0)</f>
        <v>01.0729</v>
      </c>
    </row>
    <row r="460" spans="1:8" x14ac:dyDescent="0.3">
      <c r="A460" s="2" t="s">
        <v>569</v>
      </c>
      <c r="B460" t="s">
        <v>570</v>
      </c>
      <c r="C460">
        <f>VLOOKUP(B460,[1]Sheet1!B:N,9,0)</f>
        <v>3</v>
      </c>
      <c r="D460" t="str">
        <f>VLOOKUP(B460,[1]Sheet1!B:N,10,0)</f>
        <v>₪</v>
      </c>
      <c r="E460" s="3">
        <f>VLOOKUP(B460,[1]Sheet1!B:N,6,0)</f>
        <v>45516</v>
      </c>
      <c r="F460">
        <v>1</v>
      </c>
      <c r="G460" t="str">
        <f>VLOOKUP(B460,[1]Sheet1!B:N,8,0)</f>
        <v>לוונשטיין טכנולוגיות בע"מ</v>
      </c>
      <c r="H460" t="str">
        <f>VLOOKUP(B460,[1]Sheet1!B:N,5,0)</f>
        <v>01.0669</v>
      </c>
    </row>
    <row r="461" spans="1:8" x14ac:dyDescent="0.3">
      <c r="A461" s="4" t="s">
        <v>571</v>
      </c>
      <c r="B461" t="s">
        <v>572</v>
      </c>
      <c r="C461">
        <f>VLOOKUP(B461,[1]Sheet1!B:N,9,0)</f>
        <v>1.9748000000000001</v>
      </c>
      <c r="D461" t="str">
        <f>VLOOKUP(B461,[1]Sheet1!B:N,10,0)</f>
        <v>₪</v>
      </c>
      <c r="E461" s="3">
        <f>VLOOKUP(B461,[1]Sheet1!B:N,6,0)</f>
        <v>44165</v>
      </c>
      <c r="F461">
        <v>1</v>
      </c>
      <c r="G461" t="str">
        <f>VLOOKUP(B461,[1]Sheet1!B:N,8,0)</f>
        <v>גין מהנדסים בע"מ</v>
      </c>
      <c r="H461" t="str">
        <f>VLOOKUP(B461,[1]Sheet1!B:N,5,0)</f>
        <v>01.0034</v>
      </c>
    </row>
    <row r="462" spans="1:8" x14ac:dyDescent="0.3">
      <c r="A462" s="4" t="s">
        <v>573</v>
      </c>
      <c r="B462" t="s">
        <v>574</v>
      </c>
      <c r="C462">
        <f>VLOOKUP(B462,[1]Sheet1!B:N,9,0)</f>
        <v>0.7</v>
      </c>
      <c r="D462" t="str">
        <f>VLOOKUP(B462,[1]Sheet1!B:N,10,0)</f>
        <v>₪</v>
      </c>
      <c r="E462" s="3">
        <f>VLOOKUP(B462,[1]Sheet1!B:N,6,0)</f>
        <v>45869</v>
      </c>
      <c r="F462">
        <v>1</v>
      </c>
      <c r="G462" t="str">
        <f>VLOOKUP(B462,[1]Sheet1!B:N,8,0)</f>
        <v>דר טכנולוגיות בע"מ</v>
      </c>
      <c r="H462" t="str">
        <f>VLOOKUP(B462,[1]Sheet1!B:N,5,0)</f>
        <v>01.0730</v>
      </c>
    </row>
    <row r="463" spans="1:8" x14ac:dyDescent="0.3">
      <c r="A463" s="2" t="s">
        <v>12</v>
      </c>
      <c r="B463" t="s">
        <v>575</v>
      </c>
      <c r="C463">
        <f>VLOOKUP(B463,[1]Sheet1!B:N,9,0)</f>
        <v>840</v>
      </c>
      <c r="D463" t="str">
        <f>VLOOKUP(B463,[1]Sheet1!B:N,10,0)</f>
        <v>₪</v>
      </c>
      <c r="E463" s="3">
        <f>VLOOKUP(B463,[1]Sheet1!B:N,6,0)</f>
        <v>44448</v>
      </c>
      <c r="F463">
        <v>1</v>
      </c>
      <c r="G463" t="str">
        <f>VLOOKUP(B463,[1]Sheet1!B:N,8,0)</f>
        <v>לוונשטיין טכנולוגיות</v>
      </c>
      <c r="H463" t="str">
        <f>VLOOKUP(B463,[1]Sheet1!B:N,5,0)</f>
        <v>01.0056</v>
      </c>
    </row>
    <row r="464" spans="1:8" x14ac:dyDescent="0.3">
      <c r="A464" s="4" t="s">
        <v>12</v>
      </c>
      <c r="B464" t="s">
        <v>576</v>
      </c>
      <c r="C464">
        <f>VLOOKUP(B464,[1]Sheet1!B:N,9,0)</f>
        <v>0.49990000000000001</v>
      </c>
      <c r="D464" t="str">
        <f>VLOOKUP(B464,[1]Sheet1!B:N,10,0)</f>
        <v>₪</v>
      </c>
      <c r="E464" s="3">
        <f>VLOOKUP(B464,[1]Sheet1!B:N,6,0)</f>
        <v>44360</v>
      </c>
      <c r="F464">
        <v>1</v>
      </c>
      <c r="G464" t="str">
        <f>VLOOKUP(B464,[1]Sheet1!B:N,8,0)</f>
        <v>גין מהנדסים בע"מ</v>
      </c>
      <c r="H464" t="str">
        <f>VLOOKUP(B464,[1]Sheet1!B:N,5,0)</f>
        <v>01.0056</v>
      </c>
    </row>
    <row r="465" spans="1:8" x14ac:dyDescent="0.3">
      <c r="A465" s="2" t="s">
        <v>577</v>
      </c>
      <c r="B465" t="s">
        <v>578</v>
      </c>
      <c r="C465">
        <f>VLOOKUP(B465,[1]Sheet1!B:N,9,0)</f>
        <v>1.9</v>
      </c>
      <c r="D465" t="str">
        <f>VLOOKUP(B465,[1]Sheet1!B:N,10,0)</f>
        <v>₪</v>
      </c>
      <c r="E465" s="3">
        <f>VLOOKUP(B465,[1]Sheet1!B:N,6,0)</f>
        <v>43524</v>
      </c>
      <c r="F465">
        <v>1</v>
      </c>
      <c r="G465" t="str">
        <f>VLOOKUP(B465,[1]Sheet1!B:N,8,0)</f>
        <v>גין מהנדסים בע"מ</v>
      </c>
      <c r="H465" t="str">
        <f>VLOOKUP(B465,[1]Sheet1!B:N,5,0)</f>
        <v>01.0342</v>
      </c>
    </row>
    <row r="466" spans="1:8" x14ac:dyDescent="0.3">
      <c r="A466" s="4" t="s">
        <v>304</v>
      </c>
      <c r="B466" t="s">
        <v>495</v>
      </c>
      <c r="C466">
        <f>VLOOKUP(B466,[1]Sheet1!B:N,9,0)</f>
        <v>0.55000000000000004</v>
      </c>
      <c r="D466" t="str">
        <f>VLOOKUP(B466,[1]Sheet1!B:N,10,0)</f>
        <v>₪</v>
      </c>
      <c r="E466" s="3">
        <f>VLOOKUP(B466,[1]Sheet1!B:N,6,0)</f>
        <v>44291</v>
      </c>
      <c r="F466">
        <v>1</v>
      </c>
      <c r="G466" t="str">
        <f>VLOOKUP(B466,[1]Sheet1!B:N,8,0)</f>
        <v>דר טכנולוגיות בע"מ</v>
      </c>
      <c r="H466" t="str">
        <f>VLOOKUP(B466,[1]Sheet1!B:N,5,0)</f>
        <v>01.0073</v>
      </c>
    </row>
    <row r="467" spans="1:8" x14ac:dyDescent="0.3">
      <c r="A467" s="4" t="s">
        <v>579</v>
      </c>
      <c r="B467" t="s">
        <v>580</v>
      </c>
      <c r="C467">
        <f>VLOOKUP(B467,[1]Sheet1!B:N,9,0)</f>
        <v>0.6</v>
      </c>
      <c r="D467" t="str">
        <f>VLOOKUP(B467,[1]Sheet1!B:N,10,0)</f>
        <v>₪</v>
      </c>
      <c r="E467" s="3">
        <f>VLOOKUP(B467,[1]Sheet1!B:N,6,0)</f>
        <v>44033</v>
      </c>
      <c r="F467">
        <v>1</v>
      </c>
      <c r="G467" t="str">
        <f>VLOOKUP(B467,[1]Sheet1!B:N,8,0)</f>
        <v>דר טכנולוגיות בע"מ</v>
      </c>
      <c r="H467" t="str">
        <f>VLOOKUP(B467,[1]Sheet1!B:N,5,0)</f>
        <v>01.0135</v>
      </c>
    </row>
    <row r="468" spans="1:8" x14ac:dyDescent="0.3">
      <c r="A468" s="4" t="s">
        <v>308</v>
      </c>
      <c r="B468" t="s">
        <v>581</v>
      </c>
      <c r="C468">
        <f>VLOOKUP(B468,[1]Sheet1!B:N,9,0)</f>
        <v>4.5999999999999996</v>
      </c>
      <c r="D468" t="str">
        <f>VLOOKUP(B468,[1]Sheet1!B:N,10,0)</f>
        <v>₪</v>
      </c>
      <c r="E468" s="3">
        <f>VLOOKUP(B468,[1]Sheet1!B:N,6,0)</f>
        <v>43697</v>
      </c>
      <c r="F468">
        <v>1</v>
      </c>
      <c r="G468" t="str">
        <f>VLOOKUP(B468,[1]Sheet1!B:N,8,0)</f>
        <v>גין מהנדסים בע"מ</v>
      </c>
      <c r="H468" t="str">
        <f>VLOOKUP(B468,[1]Sheet1!B:N,5,0)</f>
        <v>01.0496</v>
      </c>
    </row>
    <row r="469" spans="1:8" x14ac:dyDescent="0.3">
      <c r="A469" s="2" t="s">
        <v>582</v>
      </c>
      <c r="B469" t="s">
        <v>583</v>
      </c>
      <c r="C469">
        <f>VLOOKUP(B469,[1]Sheet1!B:N,9,0)</f>
        <v>0.9</v>
      </c>
      <c r="D469" t="str">
        <f>VLOOKUP(B469,[1]Sheet1!B:N,10,0)</f>
        <v>₪</v>
      </c>
      <c r="E469" s="3">
        <f>VLOOKUP(B469,[1]Sheet1!B:N,6,0)</f>
        <v>43662</v>
      </c>
      <c r="F469">
        <v>1</v>
      </c>
      <c r="G469" t="str">
        <f>VLOOKUP(B469,[1]Sheet1!B:N,8,0)</f>
        <v>ברמיל בע"מ</v>
      </c>
      <c r="H469" t="str">
        <f>VLOOKUP(B469,[1]Sheet1!B:N,5,0)</f>
        <v>01.0485</v>
      </c>
    </row>
    <row r="470" spans="1:8" x14ac:dyDescent="0.3">
      <c r="A470" s="2" t="s">
        <v>584</v>
      </c>
      <c r="B470" t="s">
        <v>585</v>
      </c>
      <c r="C470">
        <f>VLOOKUP(B470,[1]Sheet1!B:N,9,0)</f>
        <v>1.5</v>
      </c>
      <c r="D470" t="str">
        <f>VLOOKUP(B470,[1]Sheet1!B:N,10,0)</f>
        <v>₪</v>
      </c>
      <c r="E470" s="3">
        <f>VLOOKUP(B470,[1]Sheet1!B:N,6,0)</f>
        <v>45622</v>
      </c>
      <c r="F470">
        <v>1</v>
      </c>
      <c r="G470" t="str">
        <f>VLOOKUP(B470,[1]Sheet1!B:N,8,0)</f>
        <v>גין מהנדסים בע"מ</v>
      </c>
      <c r="H470" t="str">
        <f>VLOOKUP(B470,[1]Sheet1!B:N,5,0)</f>
        <v>01.0695</v>
      </c>
    </row>
    <row r="471" spans="1:8" x14ac:dyDescent="0.3">
      <c r="A471" s="2" t="s">
        <v>586</v>
      </c>
      <c r="B471" t="s">
        <v>587</v>
      </c>
      <c r="C471">
        <f>VLOOKUP(B471,[1]Sheet1!B:N,9,0)</f>
        <v>0.59</v>
      </c>
      <c r="D471" t="str">
        <f>VLOOKUP(B471,[1]Sheet1!B:N,10,0)</f>
        <v>₪</v>
      </c>
      <c r="E471" s="3">
        <f>VLOOKUP(B471,[1]Sheet1!B:N,6,0)</f>
        <v>44046</v>
      </c>
      <c r="F471">
        <v>1</v>
      </c>
      <c r="G471" t="str">
        <f>VLOOKUP(B471,[1]Sheet1!B:N,8,0)</f>
        <v>לוונשטיין טכנולוגיות</v>
      </c>
      <c r="H471" t="str">
        <f>VLOOKUP(B471,[1]Sheet1!B:N,5,0)</f>
        <v>01.0104</v>
      </c>
    </row>
    <row r="472" spans="1:8" x14ac:dyDescent="0.3">
      <c r="A472" s="4" t="s">
        <v>588</v>
      </c>
      <c r="B472" t="s">
        <v>589</v>
      </c>
      <c r="C472">
        <f>VLOOKUP(B472,[1]Sheet1!B:N,9,0)</f>
        <v>2.5</v>
      </c>
      <c r="D472" t="str">
        <f>VLOOKUP(B472,[1]Sheet1!B:N,10,0)</f>
        <v>₪</v>
      </c>
      <c r="E472" s="3">
        <f>VLOOKUP(B472,[1]Sheet1!B:N,6,0)</f>
        <v>45655</v>
      </c>
      <c r="F472">
        <v>1</v>
      </c>
      <c r="G472" t="str">
        <f>VLOOKUP(B472,[1]Sheet1!B:N,8,0)</f>
        <v>גין מהנדסים בע"מ</v>
      </c>
      <c r="H472" t="str">
        <f>VLOOKUP(B472,[1]Sheet1!B:N,5,0)</f>
        <v>01.0084</v>
      </c>
    </row>
    <row r="473" spans="1:8" x14ac:dyDescent="0.3">
      <c r="A473" s="4" t="s">
        <v>315</v>
      </c>
      <c r="B473" t="s">
        <v>590</v>
      </c>
      <c r="C473">
        <f>VLOOKUP(B473,[1]Sheet1!B:N,9,0)</f>
        <v>0.5</v>
      </c>
      <c r="D473" t="str">
        <f>VLOOKUP(B473,[1]Sheet1!B:N,10,0)</f>
        <v>₪</v>
      </c>
      <c r="E473" s="3">
        <f>VLOOKUP(B473,[1]Sheet1!B:N,6,0)</f>
        <v>45019</v>
      </c>
      <c r="F473">
        <v>1</v>
      </c>
      <c r="G473" t="str">
        <f>VLOOKUP(B473,[1]Sheet1!B:N,8,0)</f>
        <v>גין מהנדסים בע"מ</v>
      </c>
      <c r="H473" t="str">
        <f>VLOOKUP(B473,[1]Sheet1!B:N,5,0)</f>
        <v>01.0059</v>
      </c>
    </row>
    <row r="474" spans="1:8" x14ac:dyDescent="0.3">
      <c r="A474" s="4" t="s">
        <v>591</v>
      </c>
      <c r="B474" t="s">
        <v>517</v>
      </c>
      <c r="C474">
        <f>VLOOKUP(B474,[1]Sheet1!B:N,9,0)</f>
        <v>0.6</v>
      </c>
      <c r="D474" t="str">
        <f>VLOOKUP(B474,[1]Sheet1!B:N,10,0)</f>
        <v>₪</v>
      </c>
      <c r="E474" s="3">
        <f>VLOOKUP(B474,[1]Sheet1!B:N,6,0)</f>
        <v>45438</v>
      </c>
      <c r="F474">
        <v>1</v>
      </c>
      <c r="G474" t="str">
        <f>VLOOKUP(B474,[1]Sheet1!B:N,8,0)</f>
        <v>דר טכנולוגיות בע"מ</v>
      </c>
      <c r="H474" t="str">
        <f>VLOOKUP(B474,[1]Sheet1!B:N,5,0)</f>
        <v>01.0079</v>
      </c>
    </row>
    <row r="475" spans="1:8" x14ac:dyDescent="0.3">
      <c r="A475" s="2" t="s">
        <v>591</v>
      </c>
      <c r="B475" t="s">
        <v>592</v>
      </c>
      <c r="C475">
        <f>VLOOKUP(B475,[1]Sheet1!B:N,9,0)</f>
        <v>0.86</v>
      </c>
      <c r="D475" t="str">
        <f>VLOOKUP(B475,[1]Sheet1!B:N,10,0)</f>
        <v>₪</v>
      </c>
      <c r="E475" s="3">
        <f>VLOOKUP(B475,[1]Sheet1!B:N,6,0)</f>
        <v>41114</v>
      </c>
      <c r="F475">
        <v>1</v>
      </c>
      <c r="G475" t="str">
        <f>VLOOKUP(B475,[1]Sheet1!B:N,8,0)</f>
        <v>מלאי מקומי בע"מ</v>
      </c>
      <c r="H475" t="str">
        <f>VLOOKUP(B475,[1]Sheet1!B:N,5,0)</f>
        <v>01.0011</v>
      </c>
    </row>
    <row r="476" spans="1:8" x14ac:dyDescent="0.3">
      <c r="A476" s="4" t="s">
        <v>593</v>
      </c>
      <c r="B476" t="s">
        <v>594</v>
      </c>
      <c r="C476">
        <f>VLOOKUP(B476,[1]Sheet1!B:N,9,0)</f>
        <v>2.65</v>
      </c>
      <c r="D476" t="str">
        <f>VLOOKUP(B476,[1]Sheet1!B:N,10,0)</f>
        <v>₪</v>
      </c>
      <c r="E476" s="3">
        <f>VLOOKUP(B476,[1]Sheet1!B:N,6,0)</f>
        <v>43531</v>
      </c>
      <c r="F476">
        <v>1</v>
      </c>
      <c r="G476" t="str">
        <f>VLOOKUP(B476,[1]Sheet1!B:N,8,0)</f>
        <v>ברמיל בע"מ</v>
      </c>
      <c r="H476" t="str">
        <f>VLOOKUP(B476,[1]Sheet1!B:N,5,0)</f>
        <v>01.0085</v>
      </c>
    </row>
    <row r="477" spans="1:8" x14ac:dyDescent="0.3">
      <c r="A477" s="4" t="s">
        <v>595</v>
      </c>
      <c r="B477" t="s">
        <v>596</v>
      </c>
      <c r="C477">
        <f>VLOOKUP(B477,[1]Sheet1!B:N,9,0)</f>
        <v>0.45</v>
      </c>
      <c r="D477" t="str">
        <f>VLOOKUP(B477,[1]Sheet1!B:N,10,0)</f>
        <v>₪</v>
      </c>
      <c r="E477" s="3">
        <f>VLOOKUP(B477,[1]Sheet1!B:N,6,0)</f>
        <v>44138</v>
      </c>
      <c r="F477">
        <v>1</v>
      </c>
      <c r="G477" t="str">
        <f>VLOOKUP(B477,[1]Sheet1!B:N,8,0)</f>
        <v>דר טכנולוגיות בע"מ</v>
      </c>
      <c r="H477" t="str">
        <f>VLOOKUP(B477,[1]Sheet1!B:N,5,0)</f>
        <v>01.0073</v>
      </c>
    </row>
    <row r="478" spans="1:8" x14ac:dyDescent="0.3">
      <c r="A478" s="4" t="s">
        <v>595</v>
      </c>
      <c r="B478" t="s">
        <v>340</v>
      </c>
      <c r="C478">
        <f>VLOOKUP(B478,[1]Sheet1!B:N,9,0)</f>
        <v>0.9</v>
      </c>
      <c r="D478" t="str">
        <f>VLOOKUP(B478,[1]Sheet1!B:N,10,0)</f>
        <v>₪</v>
      </c>
      <c r="E478" s="3">
        <f>VLOOKUP(B478,[1]Sheet1!B:N,6,0)</f>
        <v>45315</v>
      </c>
      <c r="F478">
        <v>1</v>
      </c>
      <c r="G478" t="str">
        <f>VLOOKUP(B478,[1]Sheet1!B:N,8,0)</f>
        <v>לוונשטיין טכנולוגיות בע"מ</v>
      </c>
      <c r="H478" t="str">
        <f>VLOOKUP(B478,[1]Sheet1!B:N,5,0)</f>
        <v>01.0073</v>
      </c>
    </row>
    <row r="479" spans="1:8" x14ac:dyDescent="0.3">
      <c r="A479" s="4" t="s">
        <v>317</v>
      </c>
      <c r="B479" t="s">
        <v>597</v>
      </c>
      <c r="C479">
        <f>VLOOKUP(B479,[1]Sheet1!B:N,9,0)</f>
        <v>0.65</v>
      </c>
      <c r="D479" t="str">
        <f>VLOOKUP(B479,[1]Sheet1!B:N,10,0)</f>
        <v>₪</v>
      </c>
      <c r="E479" s="3">
        <f>VLOOKUP(B479,[1]Sheet1!B:N,6,0)</f>
        <v>45670</v>
      </c>
      <c r="F479">
        <v>1</v>
      </c>
      <c r="G479" t="str">
        <f>VLOOKUP(B479,[1]Sheet1!B:N,8,0)</f>
        <v>דר טכנולוגיות בע"מ</v>
      </c>
      <c r="H479" t="str">
        <f>VLOOKUP(B479,[1]Sheet1!B:N,5,0)</f>
        <v>01.0181</v>
      </c>
    </row>
    <row r="480" spans="1:8" x14ac:dyDescent="0.3">
      <c r="A480" s="4" t="s">
        <v>598</v>
      </c>
      <c r="B480" t="s">
        <v>599</v>
      </c>
      <c r="C480">
        <f>VLOOKUP(B480,[1]Sheet1!B:N,9,0)</f>
        <v>0.65</v>
      </c>
      <c r="D480" t="str">
        <f>VLOOKUP(B480,[1]Sheet1!B:N,10,0)</f>
        <v>₪</v>
      </c>
      <c r="E480" s="3">
        <f>VLOOKUP(B480,[1]Sheet1!B:N,6,0)</f>
        <v>45825</v>
      </c>
      <c r="F480">
        <v>1</v>
      </c>
      <c r="G480" t="str">
        <f>VLOOKUP(B480,[1]Sheet1!B:N,8,0)</f>
        <v>דר טכנולוגיות בע"מ</v>
      </c>
      <c r="H480" t="str">
        <f>VLOOKUP(B480,[1]Sheet1!B:N,5,0)</f>
        <v>01.0185</v>
      </c>
    </row>
    <row r="481" spans="1:8" x14ac:dyDescent="0.3">
      <c r="A481" s="4" t="s">
        <v>600</v>
      </c>
      <c r="B481" t="s">
        <v>601</v>
      </c>
      <c r="C481">
        <f>VLOOKUP(B481,[1]Sheet1!B:N,9,0)</f>
        <v>7.9</v>
      </c>
      <c r="D481" t="str">
        <f>VLOOKUP(B481,[1]Sheet1!B:N,10,0)</f>
        <v>₪</v>
      </c>
      <c r="E481" s="3">
        <f>VLOOKUP(B481,[1]Sheet1!B:N,6,0)</f>
        <v>43531</v>
      </c>
      <c r="F481">
        <v>1</v>
      </c>
      <c r="G481" t="str">
        <f>VLOOKUP(B481,[1]Sheet1!B:N,8,0)</f>
        <v>גין מהנדסים בע"מ</v>
      </c>
      <c r="H481" t="str">
        <f>VLOOKUP(B481,[1]Sheet1!B:N,5,0)</f>
        <v>01.0088</v>
      </c>
    </row>
    <row r="482" spans="1:8" x14ac:dyDescent="0.3">
      <c r="A482" s="4" t="s">
        <v>602</v>
      </c>
      <c r="B482" t="s">
        <v>603</v>
      </c>
      <c r="C482">
        <f>VLOOKUP(B482,[1]Sheet1!B:N,9,0)</f>
        <v>170</v>
      </c>
      <c r="D482" t="str">
        <f>VLOOKUP(B482,[1]Sheet1!B:N,10,0)</f>
        <v>₪</v>
      </c>
      <c r="E482" s="3">
        <f>VLOOKUP(B482,[1]Sheet1!B:N,6,0)</f>
        <v>45781</v>
      </c>
      <c r="F482">
        <v>1</v>
      </c>
      <c r="G482" t="str">
        <f>VLOOKUP(B482,[1]Sheet1!B:N,8,0)</f>
        <v>לסרי שירלי בע"מ</v>
      </c>
      <c r="H482" t="str">
        <f>VLOOKUP(B482,[1]Sheet1!B:N,5,0)</f>
        <v>01.0724</v>
      </c>
    </row>
    <row r="483" spans="1:8" x14ac:dyDescent="0.3">
      <c r="A483" s="4" t="s">
        <v>604</v>
      </c>
      <c r="B483" t="s">
        <v>605</v>
      </c>
      <c r="C483">
        <f>VLOOKUP(B483,[1]Sheet1!B:N,9,0)</f>
        <v>48</v>
      </c>
      <c r="D483" t="str">
        <f>VLOOKUP(B483,[1]Sheet1!B:N,10,0)</f>
        <v>₪</v>
      </c>
      <c r="E483" s="3">
        <f>VLOOKUP(B483,[1]Sheet1!B:N,6,0)</f>
        <v>45781</v>
      </c>
      <c r="F483">
        <v>1</v>
      </c>
      <c r="G483" t="str">
        <f>VLOOKUP(B483,[1]Sheet1!B:N,8,0)</f>
        <v>לסרי שירלי בע"מ</v>
      </c>
      <c r="H483" t="str">
        <f>VLOOKUP(B483,[1]Sheet1!B:N,5,0)</f>
        <v>01.0723</v>
      </c>
    </row>
    <row r="484" spans="1:8" x14ac:dyDescent="0.3">
      <c r="A484" s="4" t="s">
        <v>606</v>
      </c>
      <c r="B484" t="s">
        <v>607</v>
      </c>
      <c r="C484">
        <f>VLOOKUP(B484,[1]Sheet1!B:N,9,0)</f>
        <v>2.5</v>
      </c>
      <c r="D484" t="str">
        <f>VLOOKUP(B484,[1]Sheet1!B:N,10,0)</f>
        <v>₪</v>
      </c>
      <c r="E484" s="3">
        <f>VLOOKUP(B484,[1]Sheet1!B:N,6,0)</f>
        <v>44754</v>
      </c>
      <c r="F484">
        <v>1</v>
      </c>
      <c r="G484" t="str">
        <f>VLOOKUP(B484,[1]Sheet1!B:N,8,0)</f>
        <v>לוונשטיין טכנולוגיות בע"מ</v>
      </c>
      <c r="H484" t="str">
        <f>VLOOKUP(B484,[1]Sheet1!B:N,5,0)</f>
        <v>01.0578</v>
      </c>
    </row>
    <row r="485" spans="1:8" x14ac:dyDescent="0.3">
      <c r="A485" s="2" t="s">
        <v>608</v>
      </c>
      <c r="B485" t="s">
        <v>609</v>
      </c>
      <c r="C485">
        <f>VLOOKUP(B485,[1]Sheet1!B:N,9,0)</f>
        <v>12</v>
      </c>
      <c r="D485" t="str">
        <f>VLOOKUP(B485,[1]Sheet1!B:N,10,0)</f>
        <v>₪</v>
      </c>
      <c r="E485" s="3">
        <f>VLOOKUP(B485,[1]Sheet1!B:N,6,0)</f>
        <v>46040</v>
      </c>
      <c r="F485">
        <v>1</v>
      </c>
      <c r="G485" t="str">
        <f>VLOOKUP(B485,[1]Sheet1!B:N,8,0)</f>
        <v>גין מהנדסים בע"מ</v>
      </c>
      <c r="H485" t="str">
        <f>VLOOKUP(B485,[1]Sheet1!B:N,5,0)</f>
        <v>01.0734</v>
      </c>
    </row>
    <row r="486" spans="1:8" x14ac:dyDescent="0.3">
      <c r="A486" s="4" t="s">
        <v>610</v>
      </c>
      <c r="B486" t="s">
        <v>611</v>
      </c>
      <c r="C486">
        <f>VLOOKUP(B486,[1]Sheet1!B:N,9,0)</f>
        <v>380</v>
      </c>
      <c r="D486" t="str">
        <f>VLOOKUP(B486,[1]Sheet1!B:N,10,0)</f>
        <v>₪</v>
      </c>
      <c r="E486" s="3">
        <f>VLOOKUP(B486,[1]Sheet1!B:N,6,0)</f>
        <v>45833</v>
      </c>
      <c r="F486">
        <v>1</v>
      </c>
      <c r="G486" t="str">
        <f>VLOOKUP(B486,[1]Sheet1!B:N,8,0)</f>
        <v>גין מהנדסים בע"מ</v>
      </c>
      <c r="H486" t="str">
        <f>VLOOKUP(B486,[1]Sheet1!B:N,5,0)</f>
        <v>01.0415</v>
      </c>
    </row>
    <row r="487" spans="1:8" x14ac:dyDescent="0.3">
      <c r="A487" s="2" t="s">
        <v>612</v>
      </c>
      <c r="B487" t="s">
        <v>613</v>
      </c>
      <c r="C487">
        <f>VLOOKUP(B487,[1]Sheet1!B:N,9,0)</f>
        <v>380</v>
      </c>
      <c r="D487" t="str">
        <f>VLOOKUP(B487,[1]Sheet1!B:N,10,0)</f>
        <v>₪</v>
      </c>
      <c r="E487" s="3">
        <f>VLOOKUP(B487,[1]Sheet1!B:N,6,0)</f>
        <v>45833</v>
      </c>
      <c r="F487">
        <v>1</v>
      </c>
      <c r="G487" t="str">
        <f>VLOOKUP(B487,[1]Sheet1!B:N,8,0)</f>
        <v>גין מהנדסים בע"מ</v>
      </c>
      <c r="H487" t="str">
        <f>VLOOKUP(B487,[1]Sheet1!B:N,5,0)</f>
        <v>01.0725</v>
      </c>
    </row>
    <row r="488" spans="1:8" x14ac:dyDescent="0.3">
      <c r="A488" s="2" t="s">
        <v>614</v>
      </c>
      <c r="B488" t="s">
        <v>615</v>
      </c>
      <c r="C488">
        <f>VLOOKUP(B488,[1]Sheet1!B:N,9,0)</f>
        <v>380</v>
      </c>
      <c r="D488" t="str">
        <f>VLOOKUP(B488,[1]Sheet1!B:N,10,0)</f>
        <v>₪</v>
      </c>
      <c r="E488" s="3">
        <f>VLOOKUP(B488,[1]Sheet1!B:N,6,0)</f>
        <v>45833</v>
      </c>
      <c r="F488">
        <v>1</v>
      </c>
      <c r="G488" t="str">
        <f>VLOOKUP(B488,[1]Sheet1!B:N,8,0)</f>
        <v>גין מהנדסים בע"מ</v>
      </c>
      <c r="H488" t="str">
        <f>VLOOKUP(B488,[1]Sheet1!B:N,5,0)</f>
        <v>01.0726</v>
      </c>
    </row>
    <row r="489" spans="1:8" x14ac:dyDescent="0.3">
      <c r="A489" s="2" t="s">
        <v>616</v>
      </c>
      <c r="B489" t="s">
        <v>617</v>
      </c>
      <c r="C489">
        <f>VLOOKUP(B489,[1]Sheet1!B:N,9,0)</f>
        <v>380</v>
      </c>
      <c r="D489" t="str">
        <f>VLOOKUP(B489,[1]Sheet1!B:N,10,0)</f>
        <v>₪</v>
      </c>
      <c r="E489" s="3">
        <f>VLOOKUP(B489,[1]Sheet1!B:N,6,0)</f>
        <v>45833</v>
      </c>
      <c r="F489">
        <v>1</v>
      </c>
      <c r="G489" t="str">
        <f>VLOOKUP(B489,[1]Sheet1!B:N,8,0)</f>
        <v>גין מהנדסים בע"מ</v>
      </c>
      <c r="H489" t="str">
        <f>VLOOKUP(B489,[1]Sheet1!B:N,5,0)</f>
        <v>01.0727</v>
      </c>
    </row>
    <row r="490" spans="1:8" x14ac:dyDescent="0.3">
      <c r="A490" s="4" t="s">
        <v>618</v>
      </c>
      <c r="B490" t="s">
        <v>619</v>
      </c>
      <c r="C490">
        <f>VLOOKUP(B490,[1]Sheet1!B:N,9,0)</f>
        <v>7100</v>
      </c>
      <c r="D490" t="str">
        <f>VLOOKUP(B490,[1]Sheet1!B:N,10,0)</f>
        <v>₪</v>
      </c>
      <c r="E490" s="3">
        <f>VLOOKUP(B490,[1]Sheet1!B:N,6,0)</f>
        <v>44664</v>
      </c>
      <c r="F490">
        <v>1</v>
      </c>
      <c r="G490" t="str">
        <f>VLOOKUP(B490,[1]Sheet1!B:N,8,0)</f>
        <v>לוונשטיין טכנולוגיות בע"מ</v>
      </c>
      <c r="H490" t="str">
        <f>VLOOKUP(B490,[1]Sheet1!B:N,5,0)</f>
        <v>01.0571</v>
      </c>
    </row>
    <row r="491" spans="1:8" x14ac:dyDescent="0.3">
      <c r="A491" s="4" t="s">
        <v>60</v>
      </c>
      <c r="B491" t="s">
        <v>620</v>
      </c>
      <c r="C491">
        <f>VLOOKUP(B491,[1]Sheet1!B:N,9,0)</f>
        <v>0.5</v>
      </c>
      <c r="D491" t="str">
        <f>VLOOKUP(B491,[1]Sheet1!B:N,10,0)</f>
        <v>₪</v>
      </c>
      <c r="E491" s="3">
        <f>VLOOKUP(B491,[1]Sheet1!B:N,6,0)</f>
        <v>41389</v>
      </c>
      <c r="F491">
        <v>1</v>
      </c>
      <c r="G491" t="str">
        <f>VLOOKUP(B491,[1]Sheet1!B:N,8,0)</f>
        <v>לוונשטיין טכנולוגיות</v>
      </c>
      <c r="H491" t="str">
        <f>VLOOKUP(B491,[1]Sheet1!B:N,5,0)</f>
        <v>01.0094</v>
      </c>
    </row>
    <row r="492" spans="1:8" x14ac:dyDescent="0.3">
      <c r="A492" s="4" t="s">
        <v>621</v>
      </c>
      <c r="B492" t="s">
        <v>622</v>
      </c>
      <c r="C492">
        <f>VLOOKUP(B492,[1]Sheet1!B:N,9,0)</f>
        <v>0.51</v>
      </c>
      <c r="D492" t="str">
        <f>VLOOKUP(B492,[1]Sheet1!B:N,10,0)</f>
        <v>₪</v>
      </c>
      <c r="E492" s="3">
        <f>VLOOKUP(B492,[1]Sheet1!B:N,6,0)</f>
        <v>43899</v>
      </c>
      <c r="F492">
        <v>1</v>
      </c>
      <c r="G492" t="str">
        <f>VLOOKUP(B492,[1]Sheet1!B:N,8,0)</f>
        <v>לוונשטיין טכנולוגיות</v>
      </c>
      <c r="H492" t="str">
        <f>VLOOKUP(B492,[1]Sheet1!B:N,5,0)</f>
        <v>01.0502</v>
      </c>
    </row>
    <row r="493" spans="1:8" x14ac:dyDescent="0.3">
      <c r="A493" s="4" t="s">
        <v>325</v>
      </c>
      <c r="B493" t="s">
        <v>623</v>
      </c>
      <c r="C493">
        <f>VLOOKUP(B493,[1]Sheet1!B:N,9,0)</f>
        <v>19.5</v>
      </c>
      <c r="D493" t="str">
        <f>VLOOKUP(B493,[1]Sheet1!B:N,10,0)</f>
        <v>₪</v>
      </c>
      <c r="E493" s="3">
        <f>VLOOKUP(B493,[1]Sheet1!B:N,6,0)</f>
        <v>43501</v>
      </c>
      <c r="F493">
        <v>1</v>
      </c>
      <c r="G493" t="str">
        <f>VLOOKUP(B493,[1]Sheet1!B:N,8,0)</f>
        <v>גין מהנדסים בע"מ</v>
      </c>
      <c r="H493" t="str">
        <f>VLOOKUP(B493,[1]Sheet1!B:N,5,0)</f>
        <v>01.0072</v>
      </c>
    </row>
    <row r="494" spans="1:8" x14ac:dyDescent="0.3">
      <c r="A494" s="4" t="s">
        <v>111</v>
      </c>
      <c r="B494" t="s">
        <v>624</v>
      </c>
      <c r="C494">
        <f>VLOOKUP(B494,[1]Sheet1!B:N,9,0)</f>
        <v>9.89</v>
      </c>
      <c r="D494" t="str">
        <f>VLOOKUP(B494,[1]Sheet1!B:N,10,0)</f>
        <v>₪</v>
      </c>
      <c r="E494" s="3">
        <f>VLOOKUP(B494,[1]Sheet1!B:N,6,0)</f>
        <v>41330</v>
      </c>
      <c r="F494">
        <v>1</v>
      </c>
      <c r="G494" t="str">
        <f>VLOOKUP(B494,[1]Sheet1!B:N,8,0)</f>
        <v>לוונשטיין טכנולוגיות</v>
      </c>
      <c r="H494" t="str">
        <f>VLOOKUP(B494,[1]Sheet1!B:N,5,0)</f>
        <v>01.0007</v>
      </c>
    </row>
    <row r="495" spans="1:8" x14ac:dyDescent="0.3">
      <c r="A495" s="4" t="s">
        <v>625</v>
      </c>
      <c r="B495" t="s">
        <v>626</v>
      </c>
      <c r="C495">
        <f>VLOOKUP(B495,[1]Sheet1!B:N,9,0)</f>
        <v>1.3</v>
      </c>
      <c r="D495" t="str">
        <f>VLOOKUP(B495,[1]Sheet1!B:N,10,0)</f>
        <v>₪</v>
      </c>
      <c r="E495" s="3">
        <f>VLOOKUP(B495,[1]Sheet1!B:N,6,0)</f>
        <v>45218</v>
      </c>
      <c r="F495">
        <v>1</v>
      </c>
      <c r="G495" t="str">
        <f>VLOOKUP(B495,[1]Sheet1!B:N,8,0)</f>
        <v>לוונשטיין טכנולוגיות בע"מ</v>
      </c>
      <c r="H495" t="str">
        <f>VLOOKUP(B495,[1]Sheet1!B:N,5,0)</f>
        <v>01.0078</v>
      </c>
    </row>
    <row r="496" spans="1:8" x14ac:dyDescent="0.3">
      <c r="A496" s="4" t="s">
        <v>32</v>
      </c>
      <c r="B496" t="s">
        <v>627</v>
      </c>
      <c r="C496">
        <f>VLOOKUP(B496,[1]Sheet1!B:N,9,0)</f>
        <v>520</v>
      </c>
      <c r="D496" t="str">
        <f>VLOOKUP(B496,[1]Sheet1!B:N,10,0)</f>
        <v>₪</v>
      </c>
      <c r="E496" s="3">
        <f>VLOOKUP(B496,[1]Sheet1!B:N,6,0)</f>
        <v>41262</v>
      </c>
      <c r="F496">
        <v>1</v>
      </c>
      <c r="G496" t="str">
        <f>VLOOKUP(B496,[1]Sheet1!B:N,8,0)</f>
        <v>לוונשטיין טכנולוגיות</v>
      </c>
      <c r="H496" t="str">
        <f>VLOOKUP(B496,[1]Sheet1!B:N,5,0)</f>
        <v>01.0068</v>
      </c>
    </row>
    <row r="497" spans="1:8" x14ac:dyDescent="0.3">
      <c r="A497" s="4" t="s">
        <v>32</v>
      </c>
      <c r="B497" t="s">
        <v>628</v>
      </c>
      <c r="C497">
        <f>VLOOKUP(B497,[1]Sheet1!B:N,9,0)</f>
        <v>0.94</v>
      </c>
      <c r="D497" t="str">
        <f>VLOOKUP(B497,[1]Sheet1!B:N,10,0)</f>
        <v>₪</v>
      </c>
      <c r="E497" s="3">
        <f>VLOOKUP(B497,[1]Sheet1!B:N,6,0)</f>
        <v>41262</v>
      </c>
      <c r="F497">
        <v>1</v>
      </c>
      <c r="G497" t="str">
        <f>VLOOKUP(B497,[1]Sheet1!B:N,8,0)</f>
        <v>לוונשטיין טכנולוגיות</v>
      </c>
      <c r="H497" t="str">
        <f>VLOOKUP(B497,[1]Sheet1!B:N,5,0)</f>
        <v>01.0068</v>
      </c>
    </row>
    <row r="498" spans="1:8" x14ac:dyDescent="0.3">
      <c r="A498" s="4" t="s">
        <v>629</v>
      </c>
      <c r="B498" t="s">
        <v>630</v>
      </c>
      <c r="C498">
        <f>VLOOKUP(B498,[1]Sheet1!B:N,9,0)</f>
        <v>0.55000000000000004</v>
      </c>
      <c r="D498" t="str">
        <f>VLOOKUP(B498,[1]Sheet1!B:N,10,0)</f>
        <v>₪</v>
      </c>
      <c r="E498" s="3">
        <f>VLOOKUP(B498,[1]Sheet1!B:N,6,0)</f>
        <v>45705</v>
      </c>
      <c r="F498">
        <v>1</v>
      </c>
      <c r="G498" t="str">
        <f>VLOOKUP(B498,[1]Sheet1!B:N,8,0)</f>
        <v>לוונשטיין טכנולוגיות בע"מ</v>
      </c>
      <c r="H498" t="str">
        <f>VLOOKUP(B498,[1]Sheet1!B:N,5,0)</f>
        <v>01.0328</v>
      </c>
    </row>
    <row r="499" spans="1:8" x14ac:dyDescent="0.3">
      <c r="A499" s="4" t="s">
        <v>629</v>
      </c>
      <c r="B499" t="s">
        <v>631</v>
      </c>
      <c r="C499">
        <f>VLOOKUP(B499,[1]Sheet1!B:N,9,0)</f>
        <v>0</v>
      </c>
      <c r="D499" t="str">
        <f>VLOOKUP(B499,[1]Sheet1!B:N,10,0)</f>
        <v>₪</v>
      </c>
      <c r="E499" s="3">
        <f>VLOOKUP(B499,[1]Sheet1!B:N,6,0)</f>
        <v>45705</v>
      </c>
      <c r="F499">
        <v>1</v>
      </c>
      <c r="G499" t="str">
        <f>VLOOKUP(B499,[1]Sheet1!B:N,8,0)</f>
        <v>לוונשטיין טכנולוגיות בע"מ</v>
      </c>
      <c r="H499" t="str">
        <f>VLOOKUP(B499,[1]Sheet1!B:N,5,0)</f>
        <v>01.0349</v>
      </c>
    </row>
    <row r="500" spans="1:8" x14ac:dyDescent="0.3">
      <c r="A500" s="4" t="s">
        <v>632</v>
      </c>
      <c r="B500" t="s">
        <v>630</v>
      </c>
      <c r="C500">
        <f>VLOOKUP(B500,[1]Sheet1!B:N,9,0)</f>
        <v>0.55000000000000004</v>
      </c>
      <c r="D500" t="str">
        <f>VLOOKUP(B500,[1]Sheet1!B:N,10,0)</f>
        <v>₪</v>
      </c>
      <c r="E500" s="3">
        <f>VLOOKUP(B500,[1]Sheet1!B:N,6,0)</f>
        <v>45705</v>
      </c>
      <c r="F500">
        <v>1</v>
      </c>
      <c r="G500" t="str">
        <f>VLOOKUP(B500,[1]Sheet1!B:N,8,0)</f>
        <v>לוונשטיין טכנולוגיות בע"מ</v>
      </c>
      <c r="H500" t="str">
        <f>VLOOKUP(B500,[1]Sheet1!B:N,5,0)</f>
        <v>01.0328</v>
      </c>
    </row>
    <row r="501" spans="1:8" x14ac:dyDescent="0.3">
      <c r="A501" s="2" t="s">
        <v>633</v>
      </c>
      <c r="B501" t="s">
        <v>634</v>
      </c>
      <c r="C501">
        <f>VLOOKUP(B501,[1]Sheet1!B:N,9,0)</f>
        <v>240</v>
      </c>
      <c r="D501" t="str">
        <f>VLOOKUP(B501,[1]Sheet1!B:N,10,0)</f>
        <v>₪</v>
      </c>
      <c r="E501" s="3">
        <f>VLOOKUP(B501,[1]Sheet1!B:N,6,0)</f>
        <v>45249</v>
      </c>
      <c r="F501">
        <v>1</v>
      </c>
      <c r="G501" t="str">
        <f>VLOOKUP(B501,[1]Sheet1!B:N,8,0)</f>
        <v>לוונשטיין טכנולוגיות בע"מ</v>
      </c>
      <c r="H501" t="str">
        <f>VLOOKUP(B501,[1]Sheet1!B:N,5,0)</f>
        <v>01.0623</v>
      </c>
    </row>
    <row r="502" spans="1:8" x14ac:dyDescent="0.3">
      <c r="A502" s="4" t="s">
        <v>635</v>
      </c>
      <c r="B502" t="s">
        <v>636</v>
      </c>
      <c r="C502">
        <f>VLOOKUP(B502,[1]Sheet1!B:N,9,0)</f>
        <v>240</v>
      </c>
      <c r="D502" t="str">
        <f>VLOOKUP(B502,[1]Sheet1!B:N,10,0)</f>
        <v>₪</v>
      </c>
      <c r="E502" s="3">
        <f>VLOOKUP(B502,[1]Sheet1!B:N,6,0)</f>
        <v>45249</v>
      </c>
      <c r="F502">
        <v>1</v>
      </c>
      <c r="G502" t="str">
        <f>VLOOKUP(B502,[1]Sheet1!B:N,8,0)</f>
        <v>לוונשטיין טכנולוגיות בע"מ</v>
      </c>
      <c r="H502" t="str">
        <f>VLOOKUP(B502,[1]Sheet1!B:N,5,0)</f>
        <v>01.0631</v>
      </c>
    </row>
    <row r="503" spans="1:8" x14ac:dyDescent="0.3">
      <c r="A503" s="2" t="s">
        <v>637</v>
      </c>
      <c r="B503" t="s">
        <v>638</v>
      </c>
      <c r="C503">
        <f>VLOOKUP(B503,[1]Sheet1!B:N,9,0)</f>
        <v>240</v>
      </c>
      <c r="D503" t="str">
        <f>VLOOKUP(B503,[1]Sheet1!B:N,10,0)</f>
        <v>₪</v>
      </c>
      <c r="E503" s="3">
        <f>VLOOKUP(B503,[1]Sheet1!B:N,6,0)</f>
        <v>45249</v>
      </c>
      <c r="F503">
        <v>1</v>
      </c>
      <c r="G503" t="str">
        <f>VLOOKUP(B503,[1]Sheet1!B:N,8,0)</f>
        <v>לוונשטיין טכנולוגיות בע"מ</v>
      </c>
      <c r="H503" t="str">
        <f>VLOOKUP(B503,[1]Sheet1!B:N,5,0)</f>
        <v>01.0629</v>
      </c>
    </row>
    <row r="504" spans="1:8" x14ac:dyDescent="0.3">
      <c r="A504" s="2" t="s">
        <v>639</v>
      </c>
      <c r="B504" t="s">
        <v>640</v>
      </c>
      <c r="C504">
        <f>VLOOKUP(B504,[1]Sheet1!B:N,9,0)</f>
        <v>240</v>
      </c>
      <c r="D504" t="str">
        <f>VLOOKUP(B504,[1]Sheet1!B:N,10,0)</f>
        <v>₪</v>
      </c>
      <c r="E504" s="3">
        <f>VLOOKUP(B504,[1]Sheet1!B:N,6,0)</f>
        <v>45249</v>
      </c>
      <c r="F504">
        <v>1</v>
      </c>
      <c r="G504" t="str">
        <f>VLOOKUP(B504,[1]Sheet1!B:N,8,0)</f>
        <v>לוונשטיין טכנולוגיות בע"מ</v>
      </c>
      <c r="H504" t="str">
        <f>VLOOKUP(B504,[1]Sheet1!B:N,5,0)</f>
        <v>01.0627</v>
      </c>
    </row>
    <row r="505" spans="1:8" x14ac:dyDescent="0.3">
      <c r="A505" s="4" t="s">
        <v>641</v>
      </c>
      <c r="B505" t="s">
        <v>113</v>
      </c>
      <c r="C505">
        <f>VLOOKUP(B505,[1]Sheet1!B:N,9,0)</f>
        <v>6.2</v>
      </c>
      <c r="D505" t="str">
        <f>VLOOKUP(B505,[1]Sheet1!B:N,10,0)</f>
        <v>₪</v>
      </c>
      <c r="E505" s="3">
        <f>VLOOKUP(B505,[1]Sheet1!B:N,6,0)</f>
        <v>46049</v>
      </c>
      <c r="F505">
        <v>1</v>
      </c>
      <c r="G505" t="str">
        <f>VLOOKUP(B505,[1]Sheet1!B:N,8,0)</f>
        <v>גין מהנדסים בע"מ</v>
      </c>
      <c r="H505" t="str">
        <f>VLOOKUP(B505,[1]Sheet1!B:N,5,0)</f>
        <v>01.0013</v>
      </c>
    </row>
    <row r="506" spans="1:8" x14ac:dyDescent="0.3">
      <c r="A506" s="4" t="s">
        <v>70</v>
      </c>
      <c r="B506" t="s">
        <v>216</v>
      </c>
      <c r="C506">
        <f>VLOOKUP(B506,[1]Sheet1!B:N,9,0)</f>
        <v>5.7</v>
      </c>
      <c r="D506" t="str">
        <f>VLOOKUP(B506,[1]Sheet1!B:N,10,0)</f>
        <v>₪</v>
      </c>
      <c r="E506" s="3">
        <f>VLOOKUP(B506,[1]Sheet1!B:N,6,0)</f>
        <v>45951</v>
      </c>
      <c r="F506">
        <v>1</v>
      </c>
      <c r="G506" t="str">
        <f>VLOOKUP(B506,[1]Sheet1!B:N,8,0)</f>
        <v>דר טכנולוגיות בע"מ</v>
      </c>
      <c r="H506" t="str">
        <f>VLOOKUP(B506,[1]Sheet1!B:N,5,0)</f>
        <v>01.0014</v>
      </c>
    </row>
    <row r="507" spans="1:8" x14ac:dyDescent="0.3">
      <c r="A507" s="2" t="s">
        <v>70</v>
      </c>
      <c r="B507" t="s">
        <v>217</v>
      </c>
      <c r="C507">
        <f>VLOOKUP(B507,[1]Sheet1!B:N,9,0)</f>
        <v>5.2</v>
      </c>
      <c r="D507" t="str">
        <f>VLOOKUP(B507,[1]Sheet1!B:N,10,0)</f>
        <v>₪</v>
      </c>
      <c r="E507" s="3">
        <f>VLOOKUP(B507,[1]Sheet1!B:N,6,0)</f>
        <v>45484</v>
      </c>
      <c r="F507">
        <v>1</v>
      </c>
      <c r="G507" t="str">
        <f>VLOOKUP(B507,[1]Sheet1!B:N,8,0)</f>
        <v>לוונשטיין טכנולוגיות בע"מ</v>
      </c>
      <c r="H507" t="str">
        <f>VLOOKUP(B507,[1]Sheet1!B:N,5,0)</f>
        <v>01.0014</v>
      </c>
    </row>
    <row r="508" spans="1:8" x14ac:dyDescent="0.3">
      <c r="A508" s="4" t="s">
        <v>642</v>
      </c>
      <c r="B508" t="s">
        <v>643</v>
      </c>
      <c r="C508">
        <f>VLOOKUP(B508,[1]Sheet1!B:N,9,0)</f>
        <v>460</v>
      </c>
      <c r="D508" t="str">
        <f>VLOOKUP(B508,[1]Sheet1!B:N,10,0)</f>
        <v>₪</v>
      </c>
      <c r="E508" s="3">
        <f>VLOOKUP(B508,[1]Sheet1!B:N,6,0)</f>
        <v>45249</v>
      </c>
      <c r="F508">
        <v>1</v>
      </c>
      <c r="G508" t="str">
        <f>VLOOKUP(B508,[1]Sheet1!B:N,8,0)</f>
        <v>לוונשטיין טכנולוגיות בע"מ</v>
      </c>
      <c r="H508" t="str">
        <f>VLOOKUP(B508,[1]Sheet1!B:N,5,0)</f>
        <v>01.0622</v>
      </c>
    </row>
    <row r="509" spans="1:8" x14ac:dyDescent="0.3">
      <c r="A509" s="4" t="s">
        <v>644</v>
      </c>
      <c r="B509" t="s">
        <v>645</v>
      </c>
      <c r="C509">
        <f>VLOOKUP(B509,[1]Sheet1!B:N,9,0)</f>
        <v>460</v>
      </c>
      <c r="D509" t="str">
        <f>VLOOKUP(B509,[1]Sheet1!B:N,10,0)</f>
        <v>₪</v>
      </c>
      <c r="E509" s="3">
        <f>VLOOKUP(B509,[1]Sheet1!B:N,6,0)</f>
        <v>45249</v>
      </c>
      <c r="F509">
        <v>1</v>
      </c>
      <c r="G509" t="str">
        <f>VLOOKUP(B509,[1]Sheet1!B:N,8,0)</f>
        <v>לוונשטיין טכנולוגיות בע"מ</v>
      </c>
      <c r="H509" t="str">
        <f>VLOOKUP(B509,[1]Sheet1!B:N,5,0)</f>
        <v>01.0624</v>
      </c>
    </row>
    <row r="510" spans="1:8" x14ac:dyDescent="0.3">
      <c r="A510" s="2" t="s">
        <v>646</v>
      </c>
      <c r="B510" t="s">
        <v>647</v>
      </c>
      <c r="C510">
        <f>VLOOKUP(B510,[1]Sheet1!B:N,9,0)</f>
        <v>520</v>
      </c>
      <c r="D510" t="str">
        <f>VLOOKUP(B510,[1]Sheet1!B:N,10,0)</f>
        <v>₪</v>
      </c>
      <c r="E510" s="3">
        <f>VLOOKUP(B510,[1]Sheet1!B:N,6,0)</f>
        <v>45249</v>
      </c>
      <c r="F510">
        <v>1</v>
      </c>
      <c r="G510" t="str">
        <f>VLOOKUP(B510,[1]Sheet1!B:N,8,0)</f>
        <v>לוונשטיין טכנולוגיות בע"מ</v>
      </c>
      <c r="H510" t="str">
        <f>VLOOKUP(B510,[1]Sheet1!B:N,5,0)</f>
        <v>01.0632</v>
      </c>
    </row>
    <row r="511" spans="1:8" x14ac:dyDescent="0.3">
      <c r="A511" s="4" t="s">
        <v>648</v>
      </c>
      <c r="B511" t="s">
        <v>649</v>
      </c>
      <c r="C511">
        <f>VLOOKUP(B511,[1]Sheet1!B:N,9,0)</f>
        <v>460</v>
      </c>
      <c r="D511" t="str">
        <f>VLOOKUP(B511,[1]Sheet1!B:N,10,0)</f>
        <v>₪</v>
      </c>
      <c r="E511" s="3">
        <f>VLOOKUP(B511,[1]Sheet1!B:N,6,0)</f>
        <v>45249</v>
      </c>
      <c r="F511">
        <v>1</v>
      </c>
      <c r="G511" t="str">
        <f>VLOOKUP(B511,[1]Sheet1!B:N,8,0)</f>
        <v>לוונשטיין טכנולוגיות בע"מ</v>
      </c>
      <c r="H511" t="str">
        <f>VLOOKUP(B511,[1]Sheet1!B:N,5,0)</f>
        <v>01.0630</v>
      </c>
    </row>
    <row r="512" spans="1:8" x14ac:dyDescent="0.3">
      <c r="A512" s="4" t="s">
        <v>650</v>
      </c>
      <c r="B512" t="s">
        <v>651</v>
      </c>
      <c r="C512">
        <f>VLOOKUP(B512,[1]Sheet1!B:N,9,0)</f>
        <v>401.8</v>
      </c>
      <c r="D512" t="str">
        <f>VLOOKUP(B512,[1]Sheet1!B:N,10,0)</f>
        <v>₪</v>
      </c>
      <c r="E512" s="3">
        <f>VLOOKUP(B512,[1]Sheet1!B:N,6,0)</f>
        <v>45697</v>
      </c>
      <c r="F512">
        <v>1</v>
      </c>
      <c r="G512" t="str">
        <f>VLOOKUP(B512,[1]Sheet1!B:N,8,0)</f>
        <v>לוונשטיין טכנולוגיות בע"מ</v>
      </c>
      <c r="H512" t="str">
        <f>VLOOKUP(B512,[1]Sheet1!B:N,5,0)</f>
        <v>01.0700</v>
      </c>
    </row>
    <row r="513" spans="1:8" x14ac:dyDescent="0.3">
      <c r="A513" s="4" t="s">
        <v>652</v>
      </c>
      <c r="B513" t="s">
        <v>75</v>
      </c>
      <c r="C513">
        <f>VLOOKUP(B513,[1]Sheet1!B:N,9,0)</f>
        <v>0.45</v>
      </c>
      <c r="D513" t="str">
        <f>VLOOKUP(B513,[1]Sheet1!B:N,10,0)</f>
        <v>₪</v>
      </c>
      <c r="E513" s="3">
        <f>VLOOKUP(B513,[1]Sheet1!B:N,6,0)</f>
        <v>46068</v>
      </c>
      <c r="F513">
        <v>1</v>
      </c>
      <c r="G513" t="str">
        <f>VLOOKUP(B513,[1]Sheet1!B:N,8,0)</f>
        <v>דר טכנולוגיות בע"מ</v>
      </c>
      <c r="H513" t="str">
        <f>VLOOKUP(B513,[1]Sheet1!B:N,5,0)</f>
        <v>01.0021</v>
      </c>
    </row>
    <row r="514" spans="1:8" x14ac:dyDescent="0.3">
      <c r="A514" s="4" t="s">
        <v>653</v>
      </c>
      <c r="B514" t="s">
        <v>654</v>
      </c>
      <c r="C514">
        <f>VLOOKUP(B514,[1]Sheet1!B:N,9,0)</f>
        <v>0</v>
      </c>
      <c r="D514" t="str">
        <f>VLOOKUP(B514,[1]Sheet1!B:N,10,0)</f>
        <v>₪</v>
      </c>
      <c r="E514" s="3">
        <f>VLOOKUP(B514,[1]Sheet1!B:N,6,0)</f>
        <v>41969</v>
      </c>
      <c r="F514">
        <v>1</v>
      </c>
      <c r="G514" t="str">
        <f>VLOOKUP(B514,[1]Sheet1!B:N,8,0)</f>
        <v>גין מהנדסים בע"מ</v>
      </c>
      <c r="H514" t="str">
        <f>VLOOKUP(B514,[1]Sheet1!B:N,5,0)</f>
        <v>01.0210</v>
      </c>
    </row>
    <row r="515" spans="1:8" x14ac:dyDescent="0.3">
      <c r="A515" s="4" t="s">
        <v>16</v>
      </c>
      <c r="B515" t="s">
        <v>655</v>
      </c>
      <c r="C515">
        <f>VLOOKUP(B515,[1]Sheet1!B:N,9,0)</f>
        <v>0</v>
      </c>
      <c r="D515" t="str">
        <f>VLOOKUP(B515,[1]Sheet1!B:N,10,0)</f>
        <v>$</v>
      </c>
      <c r="E515" s="3">
        <f>VLOOKUP(B515,[1]Sheet1!B:N,6,0)</f>
        <v>41305</v>
      </c>
      <c r="F515">
        <v>1</v>
      </c>
      <c r="G515" t="str">
        <f>VLOOKUP(B515,[1]Sheet1!B:N,8,0)</f>
        <v>טמבור הפצות בע"מ</v>
      </c>
      <c r="H515" t="str">
        <f>VLOOKUP(B515,[1]Sheet1!B:N,5,0)</f>
        <v>01.0055</v>
      </c>
    </row>
    <row r="516" spans="1:8" x14ac:dyDescent="0.3">
      <c r="A516" s="2" t="s">
        <v>656</v>
      </c>
      <c r="B516" t="s">
        <v>657</v>
      </c>
      <c r="C516">
        <f>VLOOKUP(B516,[1]Sheet1!B:N,9,0)</f>
        <v>0.02</v>
      </c>
      <c r="D516" t="str">
        <f>VLOOKUP(B516,[1]Sheet1!B:N,10,0)</f>
        <v>$</v>
      </c>
      <c r="E516" s="3">
        <f>VLOOKUP(B516,[1]Sheet1!B:N,6,0)</f>
        <v>41122</v>
      </c>
      <c r="F516">
        <v>1</v>
      </c>
      <c r="G516" t="str">
        <f>VLOOKUP(B516,[1]Sheet1!B:N,8,0)</f>
        <v>KAYTECH INDUSTRIES CORP</v>
      </c>
      <c r="H516" t="str">
        <f>VLOOKUP(B516,[1]Sheet1!B:N,5,0)</f>
        <v>01.0246</v>
      </c>
    </row>
    <row r="517" spans="1:8" x14ac:dyDescent="0.3">
      <c r="A517" s="4" t="s">
        <v>658</v>
      </c>
      <c r="B517" t="s">
        <v>659</v>
      </c>
      <c r="C517">
        <f>VLOOKUP(B517,[1]Sheet1!B:N,9,0)</f>
        <v>33</v>
      </c>
      <c r="D517" t="str">
        <f>VLOOKUP(B517,[1]Sheet1!B:N,10,0)</f>
        <v>₪</v>
      </c>
      <c r="E517" s="3">
        <f>VLOOKUP(B517,[1]Sheet1!B:N,6,0)</f>
        <v>44724</v>
      </c>
      <c r="F517">
        <v>1</v>
      </c>
      <c r="G517" t="str">
        <f>VLOOKUP(B517,[1]Sheet1!B:N,8,0)</f>
        <v>גין מהנדסים בע"מ</v>
      </c>
      <c r="H517" t="str">
        <f>VLOOKUP(B517,[1]Sheet1!B:N,5,0)</f>
        <v>01.0574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Yelena Stolyarov</dc:creator>
  <cp:lastModifiedBy>Yelena Stolyarov</cp:lastModifiedBy>
  <dcterms:created xsi:type="dcterms:W3CDTF">2015-06-05T18:17:20Z</dcterms:created>
  <dcterms:modified xsi:type="dcterms:W3CDTF">2026-03-07T08:34:45Z</dcterms:modified>
</cp:coreProperties>
</file>